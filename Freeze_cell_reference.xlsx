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 Practice\Excel YT\"/>
    </mc:Choice>
  </mc:AlternateContent>
  <xr:revisionPtr revIDLastSave="0" documentId="8_{583F1166-178E-4223-8F68-BD658D9849B7}" xr6:coauthVersionLast="36" xr6:coauthVersionMax="36" xr10:uidLastSave="{00000000-0000-0000-0000-000000000000}"/>
  <bookViews>
    <workbookView xWindow="0" yWindow="0" windowWidth="23040" windowHeight="8940" activeTab="2" xr2:uid="{6A9213AB-408B-4B7F-8D21-32412250CAA6}"/>
  </bookViews>
  <sheets>
    <sheet name="Relative Cell reference" sheetId="1" r:id="rId1"/>
    <sheet name="Absolute Reference" sheetId="2" r:id="rId2"/>
    <sheet name="Mixed Cell reference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a">#REF!</definedName>
    <definedName name="abc">OFFSET('[1]Dynamic Ranges and Charts'!$B$29,COUNTA('[1]Dynamic Ranges and Charts'!$B$29:$B$213)-n,0,n,1)</definedName>
    <definedName name="b">#REF!</definedName>
    <definedName name="circ">#REF!</definedName>
    <definedName name="CodeList">'[2]In List'!$C$2:$C$4</definedName>
    <definedName name="codes">'[3]Conditional format  A1'!#REF!</definedName>
    <definedName name="codes1">'[3]Conditional format  A1'!#REF!</definedName>
    <definedName name="COGS">'[4]Scenario Manager'!$B$4</definedName>
    <definedName name="Courses">[5]!tblCourseList[TITLE]</definedName>
    <definedName name="_xlnm.Criteria">[6]List!$B$11:$B$13</definedName>
    <definedName name="das">[7]Scenarios!$B$14</definedName>
    <definedName name="data">[8]Data!$B$7:$K$107</definedName>
    <definedName name="dataSet">#REF!</definedName>
    <definedName name="Days">ROW(INDIRECT("1:31"))</definedName>
    <definedName name="dec">#REF!</definedName>
    <definedName name="Dep.Exp.">'[4]Scenario Manager'!$B$6</definedName>
    <definedName name="dyn_budget">OFFSET('[1]Dynamic Ranges and Charts'!$B$5,1,2,COUNTA('[1]Dynamic Ranges and Charts'!$B$6:$B$17),1)</definedName>
    <definedName name="dyn_lastn_dates">OFFSET('[1]Dynamic Ranges and Charts'!$B$29,COUNTA('[1]Dynamic Ranges and Charts'!$B$29:$B$213)-n,0,n,1)</definedName>
    <definedName name="dyn_lastn_values">OFFSET('[1]Dynamic Ranges and Charts'!$B$29,COUNTA('[1]Dynamic Ranges and Charts'!$B$29:$B$213)-n,1,n,1)</definedName>
    <definedName name="dyn_range">OFFSET('[1]Dynamic Ranges'!$B$5,0,0,COUNTA(!$B$5:$B$100),3)</definedName>
    <definedName name="dyn_salary">OFFSET('[1]Dynamic Ranges and Charts'!$B$5,1,1,COUNTA('[1]Dynamic Ranges and Charts'!$B$6:$B$17),1)</definedName>
    <definedName name="EBIT">'[4]Scenario Manager'!$B$7</definedName>
    <definedName name="Employees">[5]!tblEmployeeInfo[NAME]</definedName>
    <definedName name="Expenses">'[4]Scenario Manager'!$B$5</definedName>
    <definedName name="hourly_labor_cost">[7]Scenarios!$B$2</definedName>
    <definedName name="income">'[9]Worksheet-1'!$B$2:$F$2</definedName>
    <definedName name="Increments">#REF!</definedName>
    <definedName name="Int.Exp.">'[4]Scenario Manager'!$B$9</definedName>
    <definedName name="InventoryPart">'[10]Assumptions for DV'!$A$2:$A$17</definedName>
    <definedName name="jan">#REF!</definedName>
    <definedName name="KCosts_9">#REF!</definedName>
    <definedName name="lastname">[9]Sheet1!$A$3:$A$150</definedName>
    <definedName name="lettergrade">#REF!</definedName>
    <definedName name="list1">'[11]WB 1'!$A$1:$E$1</definedName>
    <definedName name="material_cost">[7]Scenarios!$B$3</definedName>
    <definedName name="n">'[1]Dynamic Ranges and Charts'!$D$30</definedName>
    <definedName name="name">#REF!</definedName>
    <definedName name="Number_mailed">'[12]Data Table Ex2'!$B$6</definedName>
    <definedName name="Pivot_tbl">OFFSET(#REF!,0,0,COUNTA(#REF!),COUNTA(#REF!))</definedName>
    <definedName name="policyno">[9]Sheet1!$C$3:$C$150</definedName>
    <definedName name="PPE_life">[13]Offset!$J$11</definedName>
    <definedName name="PreTaxIncome">'[4]Scenario Manager'!$B$10</definedName>
    <definedName name="ProductA_Profit">#REF!</definedName>
    <definedName name="ProductB_Profit">#REF!</definedName>
    <definedName name="ProductC_Profit">#REF!</definedName>
    <definedName name="profit">#REF!</definedName>
    <definedName name="Profit_Product_A">[7]Scenarios!$B$12</definedName>
    <definedName name="Profit_Product_B">[7]Scenarios!$C$12</definedName>
    <definedName name="Profit_Product_C">[7]Scenarios!$D$12</definedName>
    <definedName name="profits">[7]Scenarios!$B$12:$D$12</definedName>
    <definedName name="province">'[9]Worksheet-1'!$A$3:$A$11</definedName>
    <definedName name="quarterly_rates">#REF!</definedName>
    <definedName name="Range1">'[14]Worksheet 2'!#REF!</definedName>
    <definedName name="Sales">'[4]Scenario Manager'!$B$3</definedName>
    <definedName name="Shop1">#REF!</definedName>
    <definedName name="Shop2">#REF!</definedName>
    <definedName name="Shop3">#REF!</definedName>
    <definedName name="Shop4">#REF!</definedName>
    <definedName name="Shop5">#REF!</definedName>
    <definedName name="Start_10">#REF!</definedName>
    <definedName name="Start_16">#REF!</definedName>
    <definedName name="Start_18">#REF!</definedName>
    <definedName name="Start_19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te">'[15]Dynamic Data Validation'!$D$1:$G$1</definedName>
    <definedName name="StoreRoom">#REF!</definedName>
    <definedName name="t">#REF!</definedName>
    <definedName name="Tax">'[16]Error Ex2'!#REF!</definedName>
    <definedName name="TaxExp.">'[4]Scenario Manager'!$B$12</definedName>
    <definedName name="taxrate">'[9]Worksheet-1'!$B$3:$F$11</definedName>
    <definedName name="Total_Profit">[7]Scenarios!$B$14</definedName>
    <definedName name="x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3" l="1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6" i="3"/>
  <c r="E6" i="3"/>
  <c r="F6" i="3"/>
  <c r="G6" i="3"/>
  <c r="H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6" i="3"/>
  <c r="I6" i="2"/>
  <c r="I5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J10" i="2" l="1"/>
  <c r="J14" i="2"/>
  <c r="J18" i="2"/>
  <c r="J22" i="2"/>
  <c r="J26" i="2"/>
  <c r="J30" i="2"/>
  <c r="J34" i="2"/>
  <c r="J38" i="2"/>
  <c r="J42" i="2"/>
  <c r="J46" i="2"/>
  <c r="J50" i="2"/>
  <c r="J54" i="2"/>
  <c r="J58" i="2"/>
  <c r="J62" i="2"/>
  <c r="J66" i="2"/>
  <c r="J70" i="2"/>
  <c r="J74" i="2"/>
  <c r="J78" i="2"/>
  <c r="J82" i="2"/>
  <c r="J6" i="2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5" i="1"/>
  <c r="F4" i="1"/>
  <c r="J84" i="2"/>
  <c r="J83" i="2"/>
  <c r="J81" i="2"/>
  <c r="J80" i="2"/>
  <c r="J79" i="2"/>
  <c r="J77" i="2"/>
  <c r="J76" i="2"/>
  <c r="J75" i="2"/>
  <c r="J73" i="2"/>
  <c r="J72" i="2"/>
  <c r="J71" i="2"/>
  <c r="J69" i="2"/>
  <c r="J68" i="2"/>
  <c r="J67" i="2"/>
  <c r="J65" i="2"/>
  <c r="J64" i="2"/>
  <c r="J63" i="2"/>
  <c r="J61" i="2"/>
  <c r="J60" i="2"/>
  <c r="J59" i="2"/>
  <c r="J57" i="2"/>
  <c r="J56" i="2"/>
  <c r="J55" i="2"/>
  <c r="J53" i="2"/>
  <c r="J52" i="2"/>
  <c r="J51" i="2"/>
  <c r="J49" i="2"/>
  <c r="J48" i="2"/>
  <c r="J47" i="2"/>
  <c r="J45" i="2"/>
  <c r="J44" i="2"/>
  <c r="J43" i="2"/>
  <c r="J41" i="2"/>
  <c r="J40" i="2"/>
  <c r="J39" i="2"/>
  <c r="J37" i="2"/>
  <c r="J36" i="2"/>
  <c r="J35" i="2"/>
  <c r="J33" i="2"/>
  <c r="J32" i="2"/>
  <c r="J31" i="2"/>
  <c r="J29" i="2"/>
  <c r="J28" i="2"/>
  <c r="J27" i="2"/>
  <c r="J25" i="2"/>
  <c r="J24" i="2"/>
  <c r="J23" i="2"/>
  <c r="J21" i="2"/>
  <c r="J20" i="2"/>
  <c r="J19" i="2"/>
  <c r="J17" i="2"/>
  <c r="J16" i="2"/>
  <c r="J15" i="2"/>
  <c r="J13" i="2"/>
  <c r="J12" i="2"/>
  <c r="J11" i="2"/>
  <c r="J9" i="2"/>
  <c r="J8" i="2"/>
  <c r="J7" i="2"/>
  <c r="J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<sst xmlns="http://schemas.openxmlformats.org/spreadsheetml/2006/main" count="662" uniqueCount="145">
  <si>
    <t>Relative Reference</t>
  </si>
  <si>
    <t>Product</t>
  </si>
  <si>
    <t>Category</t>
  </si>
  <si>
    <t>Department</t>
  </si>
  <si>
    <t>Purchase Price</t>
  </si>
  <si>
    <t>Sale Price</t>
  </si>
  <si>
    <t>Profit/Loss</t>
  </si>
  <si>
    <t>Dry Tissues</t>
  </si>
  <si>
    <t>Cleaning Supplies</t>
  </si>
  <si>
    <t>Household</t>
  </si>
  <si>
    <t>Paper Towels</t>
  </si>
  <si>
    <t>Wet Wipes</t>
  </si>
  <si>
    <t>Chicken Dinner</t>
  </si>
  <si>
    <t>Frozen Foods</t>
  </si>
  <si>
    <t>Grocery</t>
  </si>
  <si>
    <t>Clear Refresher</t>
  </si>
  <si>
    <t>Soft Drinks</t>
  </si>
  <si>
    <t>Dried Grits</t>
  </si>
  <si>
    <t>Salty Snacks</t>
  </si>
  <si>
    <t>Extra Nougat</t>
  </si>
  <si>
    <t>Candy</t>
  </si>
  <si>
    <t>Athletic Drink</t>
  </si>
  <si>
    <t>Stew</t>
  </si>
  <si>
    <t>Jerky</t>
  </si>
  <si>
    <t>Absolute Reference</t>
  </si>
  <si>
    <t>Date</t>
  </si>
  <si>
    <t>Order Number</t>
  </si>
  <si>
    <t>Customer</t>
  </si>
  <si>
    <t>Quantity</t>
  </si>
  <si>
    <t>Code</t>
  </si>
  <si>
    <t>Unit Price</t>
  </si>
  <si>
    <t>GST</t>
  </si>
  <si>
    <t>Amount</t>
  </si>
  <si>
    <t>Hindol Sinha</t>
  </si>
  <si>
    <t>Suits</t>
  </si>
  <si>
    <t>W1</t>
  </si>
  <si>
    <t>Dola Das</t>
  </si>
  <si>
    <t>Coats</t>
  </si>
  <si>
    <t>H2</t>
  </si>
  <si>
    <t>Deepak Sharma</t>
  </si>
  <si>
    <t>C4</t>
  </si>
  <si>
    <t>Uma Nag</t>
  </si>
  <si>
    <t>Ties</t>
  </si>
  <si>
    <t>T1</t>
  </si>
  <si>
    <t>Sayak Pal</t>
  </si>
  <si>
    <t>Hats</t>
  </si>
  <si>
    <t>C1</t>
  </si>
  <si>
    <t>Srijan Das</t>
  </si>
  <si>
    <t>Srijita Agarwal</t>
  </si>
  <si>
    <t>Shoes</t>
  </si>
  <si>
    <t>H1</t>
  </si>
  <si>
    <t>Rina Karmakar</t>
  </si>
  <si>
    <t>S2</t>
  </si>
  <si>
    <t>Lily Roy</t>
  </si>
  <si>
    <t>T5</t>
  </si>
  <si>
    <t>Sonali Gupta</t>
  </si>
  <si>
    <t>Deepali Srivastava</t>
  </si>
  <si>
    <t xml:space="preserve">Rakhi </t>
  </si>
  <si>
    <t>Deepak Chandra Fulara</t>
  </si>
  <si>
    <t>Kavita Rawat</t>
  </si>
  <si>
    <t>Aakash Nagpal</t>
  </si>
  <si>
    <t>Ranit Chowdhury</t>
  </si>
  <si>
    <t>Priya Shaw</t>
  </si>
  <si>
    <t>Nikhita Jain</t>
  </si>
  <si>
    <t>Sreyashi Paul</t>
  </si>
  <si>
    <t>Ashu Dubey</t>
  </si>
  <si>
    <t>Prerna Tomar</t>
  </si>
  <si>
    <t>Ajay Kumar Mishra</t>
  </si>
  <si>
    <t xml:space="preserve">Jaishree </t>
  </si>
  <si>
    <t>Jatinder Singh</t>
  </si>
  <si>
    <t>Shashi Kumar</t>
  </si>
  <si>
    <t xml:space="preserve">Navdeep </t>
  </si>
  <si>
    <t>Sadhana Saini</t>
  </si>
  <si>
    <t>Manish Gupta</t>
  </si>
  <si>
    <t>Ritika Prasher</t>
  </si>
  <si>
    <t>Gurjinder Singh</t>
  </si>
  <si>
    <t>Sweety Gupta</t>
  </si>
  <si>
    <t>Radhe Prajapati</t>
  </si>
  <si>
    <t>Sandipa Sarkar</t>
  </si>
  <si>
    <t>Joydev Halder</t>
  </si>
  <si>
    <t>Sumanta Das</t>
  </si>
  <si>
    <t>Dipan Paul</t>
  </si>
  <si>
    <t>Biswajit Mahata</t>
  </si>
  <si>
    <t>Amit Samanta</t>
  </si>
  <si>
    <t>Raj Dutta</t>
  </si>
  <si>
    <t>Anshu Kumari</t>
  </si>
  <si>
    <t>Pallabi Guha</t>
  </si>
  <si>
    <t>Arup Kumar Banik</t>
  </si>
  <si>
    <t>Sayan Das Sarkar</t>
  </si>
  <si>
    <t>Chenithung J Kikon</t>
  </si>
  <si>
    <t>Pritam Singh Saha</t>
  </si>
  <si>
    <t>Hena Biswas</t>
  </si>
  <si>
    <t>Raeesah Tamboli</t>
  </si>
  <si>
    <t>Rupali Bhise</t>
  </si>
  <si>
    <t>Deepak Kumar Chaurasiya</t>
  </si>
  <si>
    <t>Pragati Sawant</t>
  </si>
  <si>
    <t>Savita Ghotane</t>
  </si>
  <si>
    <t>Sibaram Padhi</t>
  </si>
  <si>
    <t>Aparna Ghosh</t>
  </si>
  <si>
    <t>Akram Hossain</t>
  </si>
  <si>
    <t>Ramesh Chandra Das</t>
  </si>
  <si>
    <t>Puja Jana</t>
  </si>
  <si>
    <t>Abhijeet Agarwal</t>
  </si>
  <si>
    <t>Divya Bharti</t>
  </si>
  <si>
    <t>Amit Butola</t>
  </si>
  <si>
    <t>Mohit Singh</t>
  </si>
  <si>
    <t>Pramod Rawat</t>
  </si>
  <si>
    <t>Neeraj Upadhyay</t>
  </si>
  <si>
    <t>Ram Balak Sharma</t>
  </si>
  <si>
    <t>Amit Chauhan</t>
  </si>
  <si>
    <t>Pushkal Aggarwal</t>
  </si>
  <si>
    <t xml:space="preserve">Pooja </t>
  </si>
  <si>
    <t>Prabhjeet Kaur Sachdeva</t>
  </si>
  <si>
    <t>Roshni Gupta</t>
  </si>
  <si>
    <t>Sahil Husain Naik</t>
  </si>
  <si>
    <t>Trupti Parab</t>
  </si>
  <si>
    <t>Avijit Pratihar</t>
  </si>
  <si>
    <t>Nidhi Yadav</t>
  </si>
  <si>
    <t>Preet Baid</t>
  </si>
  <si>
    <t>Sudipta Pattanayak</t>
  </si>
  <si>
    <t>Pooja Pandey</t>
  </si>
  <si>
    <t>Akash Goel</t>
  </si>
  <si>
    <t>Kamini Barmecha</t>
  </si>
  <si>
    <t>Deblina Ghatak</t>
  </si>
  <si>
    <t>Sales Person</t>
  </si>
  <si>
    <t>January</t>
  </si>
  <si>
    <t>February</t>
  </si>
  <si>
    <t>March</t>
  </si>
  <si>
    <t>April</t>
  </si>
  <si>
    <t>May</t>
  </si>
  <si>
    <t>June</t>
  </si>
  <si>
    <t>Jinia Ghosh</t>
  </si>
  <si>
    <t>Alok Kundu</t>
  </si>
  <si>
    <t>Soham Das</t>
  </si>
  <si>
    <t>Sandip Jana</t>
  </si>
  <si>
    <t>Nilay Guha</t>
  </si>
  <si>
    <t>Mrinal Kayal</t>
  </si>
  <si>
    <t>Keya Barman</t>
  </si>
  <si>
    <t>Joy Saha</t>
  </si>
  <si>
    <t>Mithun Chaudhury</t>
  </si>
  <si>
    <t>Manas Das</t>
  </si>
  <si>
    <t>Mixed Reference</t>
  </si>
  <si>
    <t>Target (in INR)</t>
  </si>
  <si>
    <t>6 Months Sales Target</t>
  </si>
  <si>
    <t>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</si>
</sst>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u/>
      <sz val="11"/>
      <color theme="1"/>
      <name val="Book Antiqua"/>
      <family val="1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2" applyNumberFormat="0" applyFill="0" applyAlignment="0" applyProtection="0"/>
  </cellStyleXfs>
  <cellXfs count="15">
    <xf numFmtId="0" fontId="0" fillId="0" borderId="0" xfId="0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1" fillId="2" borderId="1" xfId="1" applyAlignment="1">
      <alignment horizontal="center"/>
    </xf>
    <xf numFmtId="9" fontId="3" fillId="3" borderId="4" xfId="0" applyNumberFormat="1" applyFont="1" applyFill="1" applyBorder="1" applyAlignment="1">
      <alignment horizontal="center"/>
    </xf>
    <xf numFmtId="9" fontId="3" fillId="3" borderId="7" xfId="0" applyNumberFormat="1" applyFont="1" applyFill="1" applyBorder="1" applyAlignment="1">
      <alignment horizontal="center" vertical="center"/>
    </xf>
    <xf numFmtId="0" fontId="5" fillId="0" borderId="2" xfId="2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1" fillId="2" borderId="6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</cellXfs>
  <cellStyles count="3">
    <cellStyle name="Check Cell" xfId="1" builtinId="23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ZACHGE~1\LOCALS~1\Temp\Excel%20Tips%20from%20Chris%20G%20(%232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zim%20Ahamed\Desktop\Documents%20and%20Settings\akumarja\Local%20Settings\Temporary%20Internet%20Files\Content.Outlook\HP0FWUWB\Conditional%20format\CondFormat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zim%20Ahamed\Desktop\Folder\Folder\Excel%20Training%20-%20Illustrations%20v2\Excel%20Training%20-%20Illustrations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P\Downloads\Data%20Analysis%20Tool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_Backup\Desktop\Yousuf\Template\2013%20Table%20Slicer%20-%20Employee%20training%20tracker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zim%20Ahamed\Desktop\Documents%20and%20Settings\akumarja\Local%20Settings\Temporary%20Internet%20Files\Content.Outlook\HP0FWUWB\Excel%20Manu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x\Scenari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te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\Copy%20of%20VLOOKU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Chapter%2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NEXT\CD_JUN%202010\2011\MAR\Excel%20Next%20-%20Mar%202011\Excel%20Next\eModules_Mar%202011\II\Practic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kesh%20Lalwani\Desktop\Excel%20Training-%20Content%20Ne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useful_functions_exerci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Tutorial%20Tw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Nurture%20Tech%20Academ/Download/Dependent%20Drop%20Down%20Lis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new/Excel%20Contents%20-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 (2)"/>
      <sheetName val="Contents"/>
      <sheetName val="Excel 2007"/>
      <sheetName val="Conditional format Q1"/>
      <sheetName val="Conditional format  A1"/>
      <sheetName val="Conditional format Q2"/>
      <sheetName val="Conditional format A2"/>
      <sheetName val="Conditional format  Q3"/>
      <sheetName val="Conditional format A3"/>
      <sheetName val="Custom list Q"/>
      <sheetName val="Custom list A"/>
      <sheetName val="Remove duplicate"/>
      <sheetName val="Delimit Q"/>
      <sheetName val="Delimit A"/>
      <sheetName val="Protection"/>
      <sheetName val="Paste Special"/>
      <sheetName val="List Q"/>
      <sheetName val="List A"/>
      <sheetName val="Troubleshoot"/>
      <sheetName val="Iserror"/>
      <sheetName val="DSum - Arvind"/>
      <sheetName val="Nested function Q"/>
      <sheetName val="Nested function A"/>
      <sheetName val="Multiple Functions Q"/>
      <sheetName val="Multiple Functions A"/>
      <sheetName val="Waterfall Q"/>
      <sheetName val="Waterfall A"/>
      <sheetName val="Chart and List Q"/>
      <sheetName val="Chart and List A"/>
      <sheetName val="MACROS"/>
      <sheetName val="Macros-old"/>
      <sheetName val="Functions - Others"/>
      <sheetName val="Keyboard Shortc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ining Log"/>
      <sheetName val="Course List"/>
      <sheetName val="Personnel Info"/>
      <sheetName val="2013 Table Slicer - Employee t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ested function"/>
      <sheetName val="Multiple selection"/>
      <sheetName val="VLookup errors"/>
      <sheetName val="Marco"/>
      <sheetName val="Functions"/>
      <sheetName val="List"/>
      <sheetName val="Subtotal"/>
      <sheetName val="Advanced Filter"/>
      <sheetName val="Conditional format"/>
      <sheetName val="Auto fill"/>
      <sheetName val="Paste Special"/>
      <sheetName val="Protection"/>
      <sheetName val="Keyboard Shortcuts"/>
      <sheetName val="Totals"/>
      <sheetName val="Illustration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 t="str">
            <v>Resident</v>
          </cell>
        </row>
        <row r="12">
          <cell r="B12" t="str">
            <v>Resident but Not Ordinarily Resident</v>
          </cell>
        </row>
        <row r="13">
          <cell r="B13" t="str">
            <v>Non Resident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3">
          <cell r="B3">
            <v>52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ting"/>
      <sheetName val="Sum(if,ifs)"/>
      <sheetName val="SumIF-IFS-Sumproduct"/>
      <sheetName val="Count(if,ifs)"/>
      <sheetName val="Statistical Function"/>
      <sheetName val="Sum,Count,Avg Ex"/>
      <sheetName val="Text Functions"/>
      <sheetName val="Text Function"/>
      <sheetName val="Text"/>
      <sheetName val="Text Ex"/>
      <sheetName val="IF Functionality"/>
      <sheetName val="IF Ex-1"/>
      <sheetName val="IF Ex-2"/>
      <sheetName val="IF Ex-3"/>
      <sheetName val="IF Ex-4"/>
      <sheetName val="IF Ex-5"/>
      <sheetName val="IF Ex-6"/>
      <sheetName val="Relative Cell reference"/>
      <sheetName val="Absolute Reference"/>
      <sheetName val="Mixed Cell reference"/>
      <sheetName val="References"/>
      <sheetName val="Vlookup(False)"/>
      <sheetName val="Vlookup-Ex1"/>
      <sheetName val="Vlookup-Ex2"/>
      <sheetName val="Result"/>
      <sheetName val="Data"/>
      <sheetName val="Compare"/>
      <sheetName val="Sales Data"/>
      <sheetName val="SR&amp;Region"/>
      <sheetName val="Product &amp; Price"/>
      <sheetName val="Vlookup-True"/>
      <sheetName val="Hlookup"/>
      <sheetName val="Hlookup True"/>
      <sheetName val="Performance Report"/>
      <sheetName val="Employee Details"/>
      <sheetName val="Zone wise profit"/>
      <sheetName val="DATA (2)"/>
      <sheetName val="Data-2-a"/>
      <sheetName val="Lookup"/>
      <sheetName val="Index &amp; Match "/>
      <sheetName val="Insurance Data"/>
      <sheetName val="Data comp."/>
      <sheetName val="Revenue by Year"/>
      <sheetName val="Vlookup with Duplicacy"/>
      <sheetName val="Fin Functions"/>
      <sheetName val="Loan Table"/>
      <sheetName val="Sort &amp; Filter"/>
      <sheetName val="Filter Ex1"/>
      <sheetName val="Date &amp; Time"/>
      <sheetName val="Pivot Table Ex1 (a)"/>
      <sheetName val="Pivot Table Ex2"/>
      <sheetName val="Orders"/>
      <sheetName val="Pivot Table"/>
      <sheetName val="Data Validation Ex1"/>
      <sheetName val="Data Validation Ex2"/>
      <sheetName val="Data Validation Ex3 "/>
      <sheetName val="Data Validation Ex4"/>
      <sheetName val="Data Validation Ex5"/>
      <sheetName val="Password Protection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Pareto Chart"/>
      <sheetName val="Checkbox"/>
      <sheetName val="Checkbox Practice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Conditional Formatting"/>
      <sheetName val="CF"/>
      <sheetName val="Solver"/>
      <sheetName val="Group"/>
      <sheetName val="Group Exercise"/>
      <sheetName val="Errors"/>
      <sheetName val="Printing Options"/>
      <sheetName val="Hide Formula Error"/>
      <sheetName val="Printing Comments"/>
      <sheetName val="Unpivot Data"/>
      <sheetName val="Unpivot Colum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6">
          <cell r="B6">
            <v>275000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 2"/>
      <sheetName val="Worksheet 1"/>
      <sheetName val="Worksheet 3"/>
      <sheetName val="Worksheet 4"/>
      <sheetName val="Worksheet 5"/>
      <sheetName val="Worksheet 6"/>
      <sheetName val="Scenario Summary"/>
      <sheetName val="Worksheet 7"/>
      <sheetName val="Chart1"/>
      <sheetName val="Worksheet 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Sum(if,ifs)"/>
      <sheetName val="Sum Ex1"/>
      <sheetName val="Count(if,ifs)"/>
      <sheetName val="Sum,Count,Avg Ex"/>
      <sheetName val="Wildcards"/>
      <sheetName val="Text Functions"/>
      <sheetName val="Text Ex"/>
      <sheetName val="IF Functionality"/>
      <sheetName val="IF Ex1"/>
      <sheetName val="IF Ex2"/>
      <sheetName val="IF Ex3"/>
      <sheetName val="IF Ex4"/>
      <sheetName val="IF Ex5"/>
      <sheetName val="Ref Ex1"/>
      <sheetName val="Ref Ex2"/>
      <sheetName val="Ref Ex3"/>
      <sheetName val="References"/>
      <sheetName val="Vlookup(False)"/>
      <sheetName val="Vlookup Ex1"/>
      <sheetName val="Vlookup Ex2"/>
      <sheetName val="Vlookup Ex3"/>
      <sheetName val="Vlookup(True)"/>
      <sheetName val="Vlookup Ex4"/>
      <sheetName val="Vlookup Ex5"/>
      <sheetName val="a"/>
      <sheetName val="b"/>
      <sheetName val="c"/>
      <sheetName val="d"/>
      <sheetName val="Vlookup &amp; IF"/>
      <sheetName val="1 (a)"/>
      <sheetName val="1 (b)"/>
      <sheetName val="2 (a)"/>
      <sheetName val="2 (b)"/>
      <sheetName val="Hlookup(False)"/>
      <sheetName val="Hlookup(True)"/>
      <sheetName val="Lookup"/>
      <sheetName val="Index &amp; Match"/>
      <sheetName val="Index &amp; Match Ex1"/>
      <sheetName val="Index &amp; Match Ex2"/>
      <sheetName val="Index &amp; Match Ex3"/>
      <sheetName val="Lookup, Index &amp; Match"/>
      <sheetName val="Fin Functions"/>
      <sheetName val="Loan Table"/>
      <sheetName val="Simple Int"/>
      <sheetName val="Compound Int"/>
      <sheetName val="Depreciation"/>
      <sheetName val="Misc Ex1"/>
      <sheetName val="Sort &amp; Filter"/>
      <sheetName val="Filter Ex1"/>
      <sheetName val="Date &amp; Time"/>
      <sheetName val="Date Ex1"/>
      <sheetName val="Date Ex2"/>
      <sheetName val="Date Ex3"/>
      <sheetName val="Pivot Table Ex1 (a)"/>
      <sheetName val="Pivot Table Ex1 (b)"/>
      <sheetName val="Pivot Table Ex2"/>
      <sheetName val="Pivot Table Ex3"/>
      <sheetName val="Data Validation"/>
      <sheetName val="Data Validation Ex1"/>
      <sheetName val="Data Validation Ex2"/>
      <sheetName val="Data Validation Ex3 (a)"/>
      <sheetName val="Data Validation Ex3 (b)"/>
      <sheetName val="Data Validation Ex4"/>
      <sheetName val="Data Validation Ex5"/>
      <sheetName val="Data Validation Ex6"/>
      <sheetName val="Data Validation Ex7"/>
      <sheetName val="Data Validation Ex8"/>
      <sheetName val="Data Validation Ex9"/>
      <sheetName val="Data Validation Ex10"/>
      <sheetName val="Data Validation Ex11"/>
      <sheetName val="Protection Ex1"/>
      <sheetName val="Protection Ex2"/>
      <sheetName val="Protection Ex3"/>
      <sheetName val="Protection Ex4(a)"/>
      <sheetName val="Protection Ex4(b)"/>
      <sheetName val="Dashboard Ex1"/>
      <sheetName val="Dashboard Ex2(a)"/>
      <sheetName val="Dashboard Ex2(b)"/>
      <sheetName val="Dashboard Ex2(c)"/>
      <sheetName val="Dashboard"/>
      <sheetName val="Data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Error Main"/>
      <sheetName val="Error Ex1"/>
      <sheetName val="Error Ex2"/>
      <sheetName val="Error Ex3"/>
      <sheetName val="Conditional Formatting Ex1"/>
      <sheetName val="Conditional Formatting Ex2"/>
      <sheetName val="Conditional Formatting Ex3"/>
      <sheetName val="Conditional Formatting Ex4"/>
      <sheetName val="Solve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673D-7553-4773-A607-4CF957B64BAE}">
  <dimension ref="A1:F103"/>
  <sheetViews>
    <sheetView showGridLines="0" workbookViewId="0">
      <selection activeCell="F4" sqref="F4"/>
    </sheetView>
  </sheetViews>
  <sheetFormatPr defaultRowHeight="14.4" x14ac:dyDescent="0.3"/>
  <cols>
    <col min="1" max="1" width="16.33203125" bestFit="1" customWidth="1"/>
    <col min="2" max="2" width="18.44140625" bestFit="1" customWidth="1"/>
    <col min="3" max="3" width="13.109375" bestFit="1" customWidth="1"/>
    <col min="4" max="4" width="15.6640625" bestFit="1" customWidth="1"/>
    <col min="5" max="5" width="10.88671875" bestFit="1" customWidth="1"/>
    <col min="6" max="6" width="16.6640625" bestFit="1" customWidth="1"/>
  </cols>
  <sheetData>
    <row r="1" spans="1:6" ht="26.4" thickBot="1" x14ac:dyDescent="0.55000000000000004">
      <c r="A1" s="9" t="s">
        <v>0</v>
      </c>
      <c r="B1" s="9"/>
      <c r="C1" s="9"/>
      <c r="D1" s="9"/>
      <c r="E1" s="9"/>
      <c r="F1" s="9"/>
    </row>
    <row r="2" spans="1:6" ht="15.6" thickTop="1" thickBot="1" x14ac:dyDescent="0.35"/>
    <row r="3" spans="1:6" ht="15.6" thickTop="1" thickBot="1" x14ac:dyDescent="0.3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15" thickTop="1" x14ac:dyDescent="0.3">
      <c r="A4" s="1" t="s">
        <v>7</v>
      </c>
      <c r="B4" s="1" t="s">
        <v>8</v>
      </c>
      <c r="C4" s="1" t="s">
        <v>9</v>
      </c>
      <c r="D4" s="2">
        <v>120</v>
      </c>
      <c r="E4" s="2">
        <v>135</v>
      </c>
      <c r="F4" s="3">
        <f>E4-D4</f>
        <v>15</v>
      </c>
    </row>
    <row r="5" spans="1:6" x14ac:dyDescent="0.3">
      <c r="A5" s="1" t="s">
        <v>10</v>
      </c>
      <c r="B5" s="1" t="s">
        <v>8</v>
      </c>
      <c r="C5" s="1" t="s">
        <v>9</v>
      </c>
      <c r="D5" s="2">
        <v>125</v>
      </c>
      <c r="E5" s="2">
        <v>135</v>
      </c>
      <c r="F5" s="3">
        <f>E5-D5</f>
        <v>10</v>
      </c>
    </row>
    <row r="6" spans="1:6" x14ac:dyDescent="0.3">
      <c r="A6" s="1" t="s">
        <v>11</v>
      </c>
      <c r="B6" s="1" t="s">
        <v>8</v>
      </c>
      <c r="C6" s="1" t="s">
        <v>9</v>
      </c>
      <c r="D6" s="2">
        <v>120</v>
      </c>
      <c r="E6" s="2">
        <v>135</v>
      </c>
      <c r="F6" s="3">
        <f t="shared" ref="F6:F69" si="0">E6-D6</f>
        <v>15</v>
      </c>
    </row>
    <row r="7" spans="1:6" x14ac:dyDescent="0.3">
      <c r="A7" s="1" t="s">
        <v>12</v>
      </c>
      <c r="B7" s="1" t="s">
        <v>13</v>
      </c>
      <c r="C7" s="1" t="s">
        <v>14</v>
      </c>
      <c r="D7" s="2">
        <v>80</v>
      </c>
      <c r="E7" s="2">
        <v>155</v>
      </c>
      <c r="F7" s="3">
        <f t="shared" si="0"/>
        <v>75</v>
      </c>
    </row>
    <row r="8" spans="1:6" x14ac:dyDescent="0.3">
      <c r="A8" s="1" t="s">
        <v>15</v>
      </c>
      <c r="B8" s="1" t="s">
        <v>16</v>
      </c>
      <c r="C8" s="1" t="s">
        <v>14</v>
      </c>
      <c r="D8" s="2">
        <v>165</v>
      </c>
      <c r="E8" s="2">
        <v>100</v>
      </c>
      <c r="F8" s="3">
        <f t="shared" si="0"/>
        <v>-65</v>
      </c>
    </row>
    <row r="9" spans="1:6" x14ac:dyDescent="0.3">
      <c r="A9" s="1" t="s">
        <v>17</v>
      </c>
      <c r="B9" s="1" t="s">
        <v>18</v>
      </c>
      <c r="C9" s="1" t="s">
        <v>14</v>
      </c>
      <c r="D9" s="2">
        <v>180</v>
      </c>
      <c r="E9" s="2">
        <v>100</v>
      </c>
      <c r="F9" s="3">
        <f t="shared" si="0"/>
        <v>-80</v>
      </c>
    </row>
    <row r="10" spans="1:6" x14ac:dyDescent="0.3">
      <c r="A10" s="1" t="s">
        <v>19</v>
      </c>
      <c r="B10" s="1" t="s">
        <v>20</v>
      </c>
      <c r="C10" s="1" t="s">
        <v>14</v>
      </c>
      <c r="D10" s="2">
        <v>145</v>
      </c>
      <c r="E10" s="2">
        <v>115</v>
      </c>
      <c r="F10" s="3">
        <f t="shared" si="0"/>
        <v>-30</v>
      </c>
    </row>
    <row r="11" spans="1:6" x14ac:dyDescent="0.3">
      <c r="A11" s="1" t="s">
        <v>21</v>
      </c>
      <c r="B11" s="1" t="s">
        <v>16</v>
      </c>
      <c r="C11" s="1" t="s">
        <v>14</v>
      </c>
      <c r="D11" s="2">
        <v>75</v>
      </c>
      <c r="E11" s="2">
        <v>155</v>
      </c>
      <c r="F11" s="3">
        <f t="shared" si="0"/>
        <v>80</v>
      </c>
    </row>
    <row r="12" spans="1:6" x14ac:dyDescent="0.3">
      <c r="A12" s="1" t="s">
        <v>22</v>
      </c>
      <c r="B12" s="1" t="s">
        <v>13</v>
      </c>
      <c r="C12" s="1" t="s">
        <v>14</v>
      </c>
      <c r="D12" s="2">
        <v>80</v>
      </c>
      <c r="E12" s="2">
        <v>155</v>
      </c>
      <c r="F12" s="3">
        <f t="shared" si="0"/>
        <v>75</v>
      </c>
    </row>
    <row r="13" spans="1:6" x14ac:dyDescent="0.3">
      <c r="A13" s="1" t="s">
        <v>23</v>
      </c>
      <c r="B13" s="1" t="s">
        <v>18</v>
      </c>
      <c r="C13" s="1" t="s">
        <v>14</v>
      </c>
      <c r="D13" s="2">
        <v>160</v>
      </c>
      <c r="E13" s="2">
        <v>100</v>
      </c>
      <c r="F13" s="3">
        <f t="shared" si="0"/>
        <v>-60</v>
      </c>
    </row>
    <row r="14" spans="1:6" x14ac:dyDescent="0.3">
      <c r="A14" s="1" t="s">
        <v>7</v>
      </c>
      <c r="B14" s="1" t="s">
        <v>8</v>
      </c>
      <c r="C14" s="1" t="s">
        <v>9</v>
      </c>
      <c r="D14" s="2">
        <v>168</v>
      </c>
      <c r="E14" s="2">
        <v>100</v>
      </c>
      <c r="F14" s="3">
        <f t="shared" si="0"/>
        <v>-68</v>
      </c>
    </row>
    <row r="15" spans="1:6" x14ac:dyDescent="0.3">
      <c r="A15" s="1" t="s">
        <v>10</v>
      </c>
      <c r="B15" s="1" t="s">
        <v>8</v>
      </c>
      <c r="C15" s="1" t="s">
        <v>9</v>
      </c>
      <c r="D15" s="2">
        <v>90</v>
      </c>
      <c r="E15" s="2">
        <v>155</v>
      </c>
      <c r="F15" s="3">
        <f t="shared" si="0"/>
        <v>65</v>
      </c>
    </row>
    <row r="16" spans="1:6" x14ac:dyDescent="0.3">
      <c r="A16" s="1" t="s">
        <v>11</v>
      </c>
      <c r="B16" s="1" t="s">
        <v>8</v>
      </c>
      <c r="C16" s="1" t="s">
        <v>9</v>
      </c>
      <c r="D16" s="2">
        <v>120</v>
      </c>
      <c r="E16" s="2">
        <v>135</v>
      </c>
      <c r="F16" s="3">
        <f t="shared" si="0"/>
        <v>15</v>
      </c>
    </row>
    <row r="17" spans="1:6" x14ac:dyDescent="0.3">
      <c r="A17" s="1" t="s">
        <v>12</v>
      </c>
      <c r="B17" s="1" t="s">
        <v>13</v>
      </c>
      <c r="C17" s="1" t="s">
        <v>14</v>
      </c>
      <c r="D17" s="2">
        <v>80</v>
      </c>
      <c r="E17" s="2">
        <v>155</v>
      </c>
      <c r="F17" s="3">
        <f t="shared" si="0"/>
        <v>75</v>
      </c>
    </row>
    <row r="18" spans="1:6" x14ac:dyDescent="0.3">
      <c r="A18" s="1" t="s">
        <v>15</v>
      </c>
      <c r="B18" s="1" t="s">
        <v>16</v>
      </c>
      <c r="C18" s="1" t="s">
        <v>14</v>
      </c>
      <c r="D18" s="2">
        <v>165</v>
      </c>
      <c r="E18" s="2">
        <v>100</v>
      </c>
      <c r="F18" s="3">
        <f t="shared" si="0"/>
        <v>-65</v>
      </c>
    </row>
    <row r="19" spans="1:6" x14ac:dyDescent="0.3">
      <c r="A19" s="1" t="s">
        <v>17</v>
      </c>
      <c r="B19" s="1" t="s">
        <v>18</v>
      </c>
      <c r="C19" s="1" t="s">
        <v>14</v>
      </c>
      <c r="D19" s="2">
        <v>180</v>
      </c>
      <c r="E19" s="2">
        <v>100</v>
      </c>
      <c r="F19" s="3">
        <f t="shared" si="0"/>
        <v>-80</v>
      </c>
    </row>
    <row r="20" spans="1:6" x14ac:dyDescent="0.3">
      <c r="A20" s="1" t="s">
        <v>19</v>
      </c>
      <c r="B20" s="1" t="s">
        <v>20</v>
      </c>
      <c r="C20" s="1" t="s">
        <v>14</v>
      </c>
      <c r="D20" s="2">
        <v>145</v>
      </c>
      <c r="E20" s="2">
        <v>115</v>
      </c>
      <c r="F20" s="3">
        <f t="shared" si="0"/>
        <v>-30</v>
      </c>
    </row>
    <row r="21" spans="1:6" x14ac:dyDescent="0.3">
      <c r="A21" s="1" t="s">
        <v>21</v>
      </c>
      <c r="B21" s="1" t="s">
        <v>16</v>
      </c>
      <c r="C21" s="1" t="s">
        <v>14</v>
      </c>
      <c r="D21" s="2">
        <v>175</v>
      </c>
      <c r="E21" s="2">
        <v>100</v>
      </c>
      <c r="F21" s="3">
        <f t="shared" si="0"/>
        <v>-75</v>
      </c>
    </row>
    <row r="22" spans="1:6" x14ac:dyDescent="0.3">
      <c r="A22" s="1" t="s">
        <v>22</v>
      </c>
      <c r="B22" s="1" t="s">
        <v>13</v>
      </c>
      <c r="C22" s="1" t="s">
        <v>14</v>
      </c>
      <c r="D22" s="2">
        <v>80</v>
      </c>
      <c r="E22" s="2">
        <v>155</v>
      </c>
      <c r="F22" s="3">
        <f t="shared" si="0"/>
        <v>75</v>
      </c>
    </row>
    <row r="23" spans="1:6" x14ac:dyDescent="0.3">
      <c r="A23" s="1" t="s">
        <v>23</v>
      </c>
      <c r="B23" s="1" t="s">
        <v>18</v>
      </c>
      <c r="C23" s="1" t="s">
        <v>14</v>
      </c>
      <c r="D23" s="2">
        <v>160</v>
      </c>
      <c r="E23" s="2">
        <v>100</v>
      </c>
      <c r="F23" s="3">
        <f t="shared" si="0"/>
        <v>-60</v>
      </c>
    </row>
    <row r="24" spans="1:6" x14ac:dyDescent="0.3">
      <c r="A24" s="1" t="s">
        <v>7</v>
      </c>
      <c r="B24" s="1" t="s">
        <v>8</v>
      </c>
      <c r="C24" s="1" t="s">
        <v>9</v>
      </c>
      <c r="D24" s="2">
        <v>159</v>
      </c>
      <c r="E24" s="2">
        <v>115</v>
      </c>
      <c r="F24" s="3">
        <f t="shared" si="0"/>
        <v>-44</v>
      </c>
    </row>
    <row r="25" spans="1:6" x14ac:dyDescent="0.3">
      <c r="A25" s="1" t="s">
        <v>10</v>
      </c>
      <c r="B25" s="1" t="s">
        <v>8</v>
      </c>
      <c r="C25" s="1" t="s">
        <v>9</v>
      </c>
      <c r="D25" s="2">
        <v>168</v>
      </c>
      <c r="E25" s="2">
        <v>100</v>
      </c>
      <c r="F25" s="3">
        <f t="shared" si="0"/>
        <v>-68</v>
      </c>
    </row>
    <row r="26" spans="1:6" x14ac:dyDescent="0.3">
      <c r="A26" s="1" t="s">
        <v>11</v>
      </c>
      <c r="B26" s="1" t="s">
        <v>8</v>
      </c>
      <c r="C26" s="1" t="s">
        <v>9</v>
      </c>
      <c r="D26" s="2">
        <v>120</v>
      </c>
      <c r="E26" s="2">
        <v>135</v>
      </c>
      <c r="F26" s="3">
        <f t="shared" si="0"/>
        <v>15</v>
      </c>
    </row>
    <row r="27" spans="1:6" x14ac:dyDescent="0.3">
      <c r="A27" s="1" t="s">
        <v>12</v>
      </c>
      <c r="B27" s="1" t="s">
        <v>13</v>
      </c>
      <c r="C27" s="1" t="s">
        <v>14</v>
      </c>
      <c r="D27" s="2">
        <v>80</v>
      </c>
      <c r="E27" s="2">
        <v>155</v>
      </c>
      <c r="F27" s="3">
        <f t="shared" si="0"/>
        <v>75</v>
      </c>
    </row>
    <row r="28" spans="1:6" x14ac:dyDescent="0.3">
      <c r="A28" s="1" t="s">
        <v>15</v>
      </c>
      <c r="B28" s="1" t="s">
        <v>16</v>
      </c>
      <c r="C28" s="1" t="s">
        <v>14</v>
      </c>
      <c r="D28" s="2">
        <v>165</v>
      </c>
      <c r="E28" s="2">
        <v>100</v>
      </c>
      <c r="F28" s="3">
        <f t="shared" si="0"/>
        <v>-65</v>
      </c>
    </row>
    <row r="29" spans="1:6" x14ac:dyDescent="0.3">
      <c r="A29" s="1" t="s">
        <v>17</v>
      </c>
      <c r="B29" s="1" t="s">
        <v>18</v>
      </c>
      <c r="C29" s="1" t="s">
        <v>14</v>
      </c>
      <c r="D29" s="2">
        <v>180</v>
      </c>
      <c r="E29" s="2">
        <v>100</v>
      </c>
      <c r="F29" s="3">
        <f t="shared" si="0"/>
        <v>-80</v>
      </c>
    </row>
    <row r="30" spans="1:6" x14ac:dyDescent="0.3">
      <c r="A30" s="1" t="s">
        <v>19</v>
      </c>
      <c r="B30" s="1" t="s">
        <v>20</v>
      </c>
      <c r="C30" s="1" t="s">
        <v>14</v>
      </c>
      <c r="D30" s="2">
        <v>145</v>
      </c>
      <c r="E30" s="2">
        <v>115</v>
      </c>
      <c r="F30" s="3">
        <f t="shared" si="0"/>
        <v>-30</v>
      </c>
    </row>
    <row r="31" spans="1:6" x14ac:dyDescent="0.3">
      <c r="A31" s="1" t="s">
        <v>21</v>
      </c>
      <c r="B31" s="1" t="s">
        <v>16</v>
      </c>
      <c r="C31" s="1" t="s">
        <v>14</v>
      </c>
      <c r="D31" s="2">
        <v>75</v>
      </c>
      <c r="E31" s="2">
        <v>155</v>
      </c>
      <c r="F31" s="3">
        <f t="shared" si="0"/>
        <v>80</v>
      </c>
    </row>
    <row r="32" spans="1:6" x14ac:dyDescent="0.3">
      <c r="A32" s="1" t="s">
        <v>22</v>
      </c>
      <c r="B32" s="1" t="s">
        <v>13</v>
      </c>
      <c r="C32" s="1" t="s">
        <v>14</v>
      </c>
      <c r="D32" s="2">
        <v>80</v>
      </c>
      <c r="E32" s="2">
        <v>155</v>
      </c>
      <c r="F32" s="3">
        <f t="shared" si="0"/>
        <v>75</v>
      </c>
    </row>
    <row r="33" spans="1:6" x14ac:dyDescent="0.3">
      <c r="A33" s="1" t="s">
        <v>23</v>
      </c>
      <c r="B33" s="1" t="s">
        <v>18</v>
      </c>
      <c r="C33" s="1" t="s">
        <v>14</v>
      </c>
      <c r="D33" s="2">
        <v>160</v>
      </c>
      <c r="E33" s="2">
        <v>100</v>
      </c>
      <c r="F33" s="3">
        <f t="shared" si="0"/>
        <v>-60</v>
      </c>
    </row>
    <row r="34" spans="1:6" x14ac:dyDescent="0.3">
      <c r="A34" s="1" t="s">
        <v>7</v>
      </c>
      <c r="B34" s="1" t="s">
        <v>8</v>
      </c>
      <c r="C34" s="1" t="s">
        <v>9</v>
      </c>
      <c r="D34" s="2">
        <v>125</v>
      </c>
      <c r="E34" s="2">
        <v>135</v>
      </c>
      <c r="F34" s="3">
        <f t="shared" si="0"/>
        <v>10</v>
      </c>
    </row>
    <row r="35" spans="1:6" x14ac:dyDescent="0.3">
      <c r="A35" s="1" t="s">
        <v>10</v>
      </c>
      <c r="B35" s="1" t="s">
        <v>8</v>
      </c>
      <c r="C35" s="1" t="s">
        <v>9</v>
      </c>
      <c r="D35" s="2">
        <v>189</v>
      </c>
      <c r="E35" s="2">
        <v>100</v>
      </c>
      <c r="F35" s="3">
        <f t="shared" si="0"/>
        <v>-89</v>
      </c>
    </row>
    <row r="36" spans="1:6" x14ac:dyDescent="0.3">
      <c r="A36" s="1" t="s">
        <v>11</v>
      </c>
      <c r="B36" s="1" t="s">
        <v>8</v>
      </c>
      <c r="C36" s="1" t="s">
        <v>9</v>
      </c>
      <c r="D36" s="2">
        <v>120</v>
      </c>
      <c r="E36" s="2">
        <v>135</v>
      </c>
      <c r="F36" s="3">
        <f t="shared" si="0"/>
        <v>15</v>
      </c>
    </row>
    <row r="37" spans="1:6" x14ac:dyDescent="0.3">
      <c r="A37" s="1" t="s">
        <v>12</v>
      </c>
      <c r="B37" s="1" t="s">
        <v>13</v>
      </c>
      <c r="C37" s="1" t="s">
        <v>14</v>
      </c>
      <c r="D37" s="2">
        <v>80</v>
      </c>
      <c r="E37" s="2">
        <v>155</v>
      </c>
      <c r="F37" s="3">
        <f t="shared" si="0"/>
        <v>75</v>
      </c>
    </row>
    <row r="38" spans="1:6" x14ac:dyDescent="0.3">
      <c r="A38" s="1" t="s">
        <v>15</v>
      </c>
      <c r="B38" s="1" t="s">
        <v>16</v>
      </c>
      <c r="C38" s="1" t="s">
        <v>14</v>
      </c>
      <c r="D38" s="2">
        <v>165</v>
      </c>
      <c r="E38" s="2">
        <v>100</v>
      </c>
      <c r="F38" s="3">
        <f t="shared" si="0"/>
        <v>-65</v>
      </c>
    </row>
    <row r="39" spans="1:6" x14ac:dyDescent="0.3">
      <c r="A39" s="1" t="s">
        <v>17</v>
      </c>
      <c r="B39" s="1" t="s">
        <v>18</v>
      </c>
      <c r="C39" s="1" t="s">
        <v>14</v>
      </c>
      <c r="D39" s="2">
        <v>180</v>
      </c>
      <c r="E39" s="2">
        <v>100</v>
      </c>
      <c r="F39" s="3">
        <f t="shared" si="0"/>
        <v>-80</v>
      </c>
    </row>
    <row r="40" spans="1:6" x14ac:dyDescent="0.3">
      <c r="A40" s="1" t="s">
        <v>19</v>
      </c>
      <c r="B40" s="1" t="s">
        <v>20</v>
      </c>
      <c r="C40" s="1" t="s">
        <v>14</v>
      </c>
      <c r="D40" s="2">
        <v>145</v>
      </c>
      <c r="E40" s="2">
        <v>115</v>
      </c>
      <c r="F40" s="3">
        <f t="shared" si="0"/>
        <v>-30</v>
      </c>
    </row>
    <row r="41" spans="1:6" x14ac:dyDescent="0.3">
      <c r="A41" s="1" t="s">
        <v>21</v>
      </c>
      <c r="B41" s="1" t="s">
        <v>16</v>
      </c>
      <c r="C41" s="1" t="s">
        <v>14</v>
      </c>
      <c r="D41" s="2">
        <v>159</v>
      </c>
      <c r="E41" s="2">
        <v>115</v>
      </c>
      <c r="F41" s="3">
        <f t="shared" si="0"/>
        <v>-44</v>
      </c>
    </row>
    <row r="42" spans="1:6" x14ac:dyDescent="0.3">
      <c r="A42" s="1" t="s">
        <v>22</v>
      </c>
      <c r="B42" s="1" t="s">
        <v>13</v>
      </c>
      <c r="C42" s="1" t="s">
        <v>14</v>
      </c>
      <c r="D42" s="2">
        <v>80</v>
      </c>
      <c r="E42" s="2">
        <v>155</v>
      </c>
      <c r="F42" s="3">
        <f t="shared" si="0"/>
        <v>75</v>
      </c>
    </row>
    <row r="43" spans="1:6" x14ac:dyDescent="0.3">
      <c r="A43" s="1" t="s">
        <v>23</v>
      </c>
      <c r="B43" s="1" t="s">
        <v>18</v>
      </c>
      <c r="C43" s="1" t="s">
        <v>14</v>
      </c>
      <c r="D43" s="2">
        <v>160</v>
      </c>
      <c r="E43" s="2">
        <v>100</v>
      </c>
      <c r="F43" s="3">
        <f t="shared" si="0"/>
        <v>-60</v>
      </c>
    </row>
    <row r="44" spans="1:6" x14ac:dyDescent="0.3">
      <c r="A44" s="1" t="s">
        <v>7</v>
      </c>
      <c r="B44" s="1" t="s">
        <v>8</v>
      </c>
      <c r="C44" s="1" t="s">
        <v>9</v>
      </c>
      <c r="D44" s="2">
        <v>180</v>
      </c>
      <c r="E44" s="2">
        <v>100</v>
      </c>
      <c r="F44" s="3">
        <f t="shared" si="0"/>
        <v>-80</v>
      </c>
    </row>
    <row r="45" spans="1:6" x14ac:dyDescent="0.3">
      <c r="A45" s="1" t="s">
        <v>10</v>
      </c>
      <c r="B45" s="1" t="s">
        <v>8</v>
      </c>
      <c r="C45" s="1" t="s">
        <v>9</v>
      </c>
      <c r="D45" s="2">
        <v>190</v>
      </c>
      <c r="E45" s="2">
        <v>75</v>
      </c>
      <c r="F45" s="3">
        <f t="shared" si="0"/>
        <v>-115</v>
      </c>
    </row>
    <row r="46" spans="1:6" x14ac:dyDescent="0.3">
      <c r="A46" s="1" t="s">
        <v>11</v>
      </c>
      <c r="B46" s="1" t="s">
        <v>8</v>
      </c>
      <c r="C46" s="1" t="s">
        <v>9</v>
      </c>
      <c r="D46" s="2">
        <v>120</v>
      </c>
      <c r="E46" s="2">
        <v>135</v>
      </c>
      <c r="F46" s="3">
        <f t="shared" si="0"/>
        <v>15</v>
      </c>
    </row>
    <row r="47" spans="1:6" x14ac:dyDescent="0.3">
      <c r="A47" s="1" t="s">
        <v>12</v>
      </c>
      <c r="B47" s="1" t="s">
        <v>13</v>
      </c>
      <c r="C47" s="1" t="s">
        <v>14</v>
      </c>
      <c r="D47" s="2">
        <v>80</v>
      </c>
      <c r="E47" s="2">
        <v>155</v>
      </c>
      <c r="F47" s="3">
        <f t="shared" si="0"/>
        <v>75</v>
      </c>
    </row>
    <row r="48" spans="1:6" x14ac:dyDescent="0.3">
      <c r="A48" s="1" t="s">
        <v>15</v>
      </c>
      <c r="B48" s="1" t="s">
        <v>16</v>
      </c>
      <c r="C48" s="1" t="s">
        <v>14</v>
      </c>
      <c r="D48" s="2">
        <v>165</v>
      </c>
      <c r="E48" s="2">
        <v>100</v>
      </c>
      <c r="F48" s="3">
        <f t="shared" si="0"/>
        <v>-65</v>
      </c>
    </row>
    <row r="49" spans="1:6" x14ac:dyDescent="0.3">
      <c r="A49" s="1" t="s">
        <v>17</v>
      </c>
      <c r="B49" s="1" t="s">
        <v>18</v>
      </c>
      <c r="C49" s="1" t="s">
        <v>14</v>
      </c>
      <c r="D49" s="2">
        <v>180</v>
      </c>
      <c r="E49" s="2">
        <v>100</v>
      </c>
      <c r="F49" s="3">
        <f t="shared" si="0"/>
        <v>-80</v>
      </c>
    </row>
    <row r="50" spans="1:6" x14ac:dyDescent="0.3">
      <c r="A50" s="1" t="s">
        <v>19</v>
      </c>
      <c r="B50" s="1" t="s">
        <v>20</v>
      </c>
      <c r="C50" s="1" t="s">
        <v>14</v>
      </c>
      <c r="D50" s="2">
        <v>145</v>
      </c>
      <c r="E50" s="2">
        <v>115</v>
      </c>
      <c r="F50" s="3">
        <f t="shared" si="0"/>
        <v>-30</v>
      </c>
    </row>
    <row r="51" spans="1:6" x14ac:dyDescent="0.3">
      <c r="A51" s="1" t="s">
        <v>21</v>
      </c>
      <c r="B51" s="1" t="s">
        <v>16</v>
      </c>
      <c r="C51" s="1" t="s">
        <v>14</v>
      </c>
      <c r="D51" s="2">
        <v>170</v>
      </c>
      <c r="E51" s="2">
        <v>100</v>
      </c>
      <c r="F51" s="3">
        <f t="shared" si="0"/>
        <v>-70</v>
      </c>
    </row>
    <row r="52" spans="1:6" x14ac:dyDescent="0.3">
      <c r="A52" s="1" t="s">
        <v>22</v>
      </c>
      <c r="B52" s="1" t="s">
        <v>13</v>
      </c>
      <c r="C52" s="1" t="s">
        <v>14</v>
      </c>
      <c r="D52" s="2">
        <v>80</v>
      </c>
      <c r="E52" s="2">
        <v>155</v>
      </c>
      <c r="F52" s="3">
        <f t="shared" si="0"/>
        <v>75</v>
      </c>
    </row>
    <row r="53" spans="1:6" x14ac:dyDescent="0.3">
      <c r="A53" s="1" t="s">
        <v>23</v>
      </c>
      <c r="B53" s="1" t="s">
        <v>18</v>
      </c>
      <c r="C53" s="1" t="s">
        <v>14</v>
      </c>
      <c r="D53" s="2">
        <v>160</v>
      </c>
      <c r="E53" s="2">
        <v>100</v>
      </c>
      <c r="F53" s="3">
        <f t="shared" si="0"/>
        <v>-60</v>
      </c>
    </row>
    <row r="54" spans="1:6" x14ac:dyDescent="0.3">
      <c r="A54" s="1" t="s">
        <v>7</v>
      </c>
      <c r="B54" s="1" t="s">
        <v>8</v>
      </c>
      <c r="C54" s="1" t="s">
        <v>9</v>
      </c>
      <c r="D54" s="2">
        <v>180</v>
      </c>
      <c r="E54" s="2">
        <v>100</v>
      </c>
      <c r="F54" s="3">
        <f t="shared" si="0"/>
        <v>-80</v>
      </c>
    </row>
    <row r="55" spans="1:6" x14ac:dyDescent="0.3">
      <c r="A55" s="1" t="s">
        <v>10</v>
      </c>
      <c r="B55" s="1" t="s">
        <v>8</v>
      </c>
      <c r="C55" s="1" t="s">
        <v>9</v>
      </c>
      <c r="D55" s="2">
        <v>190</v>
      </c>
      <c r="E55" s="2">
        <v>75</v>
      </c>
      <c r="F55" s="3">
        <f t="shared" si="0"/>
        <v>-115</v>
      </c>
    </row>
    <row r="56" spans="1:6" x14ac:dyDescent="0.3">
      <c r="A56" s="1" t="s">
        <v>11</v>
      </c>
      <c r="B56" s="1" t="s">
        <v>8</v>
      </c>
      <c r="C56" s="1" t="s">
        <v>9</v>
      </c>
      <c r="D56" s="2">
        <v>120</v>
      </c>
      <c r="E56" s="2">
        <v>135</v>
      </c>
      <c r="F56" s="3">
        <f t="shared" si="0"/>
        <v>15</v>
      </c>
    </row>
    <row r="57" spans="1:6" x14ac:dyDescent="0.3">
      <c r="A57" s="1" t="s">
        <v>12</v>
      </c>
      <c r="B57" s="1" t="s">
        <v>13</v>
      </c>
      <c r="C57" s="1" t="s">
        <v>14</v>
      </c>
      <c r="D57" s="2">
        <v>80</v>
      </c>
      <c r="E57" s="2">
        <v>155</v>
      </c>
      <c r="F57" s="3">
        <f t="shared" si="0"/>
        <v>75</v>
      </c>
    </row>
    <row r="58" spans="1:6" x14ac:dyDescent="0.3">
      <c r="A58" s="1" t="s">
        <v>15</v>
      </c>
      <c r="B58" s="1" t="s">
        <v>16</v>
      </c>
      <c r="C58" s="1" t="s">
        <v>14</v>
      </c>
      <c r="D58" s="2">
        <v>165</v>
      </c>
      <c r="E58" s="2">
        <v>100</v>
      </c>
      <c r="F58" s="3">
        <f t="shared" si="0"/>
        <v>-65</v>
      </c>
    </row>
    <row r="59" spans="1:6" x14ac:dyDescent="0.3">
      <c r="A59" s="1" t="s">
        <v>17</v>
      </c>
      <c r="B59" s="1" t="s">
        <v>18</v>
      </c>
      <c r="C59" s="1" t="s">
        <v>14</v>
      </c>
      <c r="D59" s="2">
        <v>180</v>
      </c>
      <c r="E59" s="2">
        <v>100</v>
      </c>
      <c r="F59" s="3">
        <f t="shared" si="0"/>
        <v>-80</v>
      </c>
    </row>
    <row r="60" spans="1:6" x14ac:dyDescent="0.3">
      <c r="A60" s="1" t="s">
        <v>19</v>
      </c>
      <c r="B60" s="1" t="s">
        <v>20</v>
      </c>
      <c r="C60" s="1" t="s">
        <v>14</v>
      </c>
      <c r="D60" s="2">
        <v>145</v>
      </c>
      <c r="E60" s="2">
        <v>115</v>
      </c>
      <c r="F60" s="3">
        <f t="shared" si="0"/>
        <v>-30</v>
      </c>
    </row>
    <row r="61" spans="1:6" x14ac:dyDescent="0.3">
      <c r="A61" s="1" t="s">
        <v>21</v>
      </c>
      <c r="B61" s="1" t="s">
        <v>16</v>
      </c>
      <c r="C61" s="1" t="s">
        <v>14</v>
      </c>
      <c r="D61" s="2">
        <v>175</v>
      </c>
      <c r="E61" s="2">
        <v>100</v>
      </c>
      <c r="F61" s="3">
        <f t="shared" si="0"/>
        <v>-75</v>
      </c>
    </row>
    <row r="62" spans="1:6" x14ac:dyDescent="0.3">
      <c r="A62" s="1" t="s">
        <v>22</v>
      </c>
      <c r="B62" s="1" t="s">
        <v>13</v>
      </c>
      <c r="C62" s="1" t="s">
        <v>14</v>
      </c>
      <c r="D62" s="2">
        <v>80</v>
      </c>
      <c r="E62" s="2">
        <v>155</v>
      </c>
      <c r="F62" s="3">
        <f t="shared" si="0"/>
        <v>75</v>
      </c>
    </row>
    <row r="63" spans="1:6" x14ac:dyDescent="0.3">
      <c r="A63" s="1" t="s">
        <v>23</v>
      </c>
      <c r="B63" s="1" t="s">
        <v>18</v>
      </c>
      <c r="C63" s="1" t="s">
        <v>14</v>
      </c>
      <c r="D63" s="2">
        <v>160</v>
      </c>
      <c r="E63" s="2">
        <v>100</v>
      </c>
      <c r="F63" s="3">
        <f t="shared" si="0"/>
        <v>-60</v>
      </c>
    </row>
    <row r="64" spans="1:6" x14ac:dyDescent="0.3">
      <c r="A64" s="1" t="s">
        <v>7</v>
      </c>
      <c r="B64" s="1" t="s">
        <v>8</v>
      </c>
      <c r="C64" s="1" t="s">
        <v>9</v>
      </c>
      <c r="D64" s="2">
        <v>160</v>
      </c>
      <c r="E64" s="2">
        <v>100</v>
      </c>
      <c r="F64" s="3">
        <f t="shared" si="0"/>
        <v>-60</v>
      </c>
    </row>
    <row r="65" spans="1:6" x14ac:dyDescent="0.3">
      <c r="A65" s="1" t="s">
        <v>10</v>
      </c>
      <c r="B65" s="1" t="s">
        <v>8</v>
      </c>
      <c r="C65" s="1" t="s">
        <v>9</v>
      </c>
      <c r="D65" s="2">
        <v>190</v>
      </c>
      <c r="E65" s="2">
        <v>75</v>
      </c>
      <c r="F65" s="3">
        <f t="shared" si="0"/>
        <v>-115</v>
      </c>
    </row>
    <row r="66" spans="1:6" x14ac:dyDescent="0.3">
      <c r="A66" s="1" t="s">
        <v>11</v>
      </c>
      <c r="B66" s="1" t="s">
        <v>8</v>
      </c>
      <c r="C66" s="1" t="s">
        <v>9</v>
      </c>
      <c r="D66" s="2">
        <v>120</v>
      </c>
      <c r="E66" s="2">
        <v>135</v>
      </c>
      <c r="F66" s="3">
        <f t="shared" si="0"/>
        <v>15</v>
      </c>
    </row>
    <row r="67" spans="1:6" x14ac:dyDescent="0.3">
      <c r="A67" s="1" t="s">
        <v>12</v>
      </c>
      <c r="B67" s="1" t="s">
        <v>13</v>
      </c>
      <c r="C67" s="1" t="s">
        <v>14</v>
      </c>
      <c r="D67" s="2">
        <v>80</v>
      </c>
      <c r="E67" s="2">
        <v>155</v>
      </c>
      <c r="F67" s="3">
        <f t="shared" si="0"/>
        <v>75</v>
      </c>
    </row>
    <row r="68" spans="1:6" x14ac:dyDescent="0.3">
      <c r="A68" s="1" t="s">
        <v>15</v>
      </c>
      <c r="B68" s="1" t="s">
        <v>16</v>
      </c>
      <c r="C68" s="1" t="s">
        <v>14</v>
      </c>
      <c r="D68" s="2">
        <v>165</v>
      </c>
      <c r="E68" s="2">
        <v>100</v>
      </c>
      <c r="F68" s="3">
        <f t="shared" si="0"/>
        <v>-65</v>
      </c>
    </row>
    <row r="69" spans="1:6" x14ac:dyDescent="0.3">
      <c r="A69" s="1" t="s">
        <v>17</v>
      </c>
      <c r="B69" s="1" t="s">
        <v>18</v>
      </c>
      <c r="C69" s="1" t="s">
        <v>14</v>
      </c>
      <c r="D69" s="2">
        <v>180</v>
      </c>
      <c r="E69" s="2">
        <v>100</v>
      </c>
      <c r="F69" s="3">
        <f t="shared" si="0"/>
        <v>-80</v>
      </c>
    </row>
    <row r="70" spans="1:6" x14ac:dyDescent="0.3">
      <c r="A70" s="1" t="s">
        <v>19</v>
      </c>
      <c r="B70" s="1" t="s">
        <v>20</v>
      </c>
      <c r="C70" s="1" t="s">
        <v>14</v>
      </c>
      <c r="D70" s="2">
        <v>145</v>
      </c>
      <c r="E70" s="2">
        <v>115</v>
      </c>
      <c r="F70" s="3">
        <f t="shared" ref="F70:F103" si="1">E70-D70</f>
        <v>-30</v>
      </c>
    </row>
    <row r="71" spans="1:6" x14ac:dyDescent="0.3">
      <c r="A71" s="1" t="s">
        <v>21</v>
      </c>
      <c r="B71" s="1" t="s">
        <v>16</v>
      </c>
      <c r="C71" s="1" t="s">
        <v>14</v>
      </c>
      <c r="D71" s="2">
        <v>175</v>
      </c>
      <c r="E71" s="2">
        <v>100</v>
      </c>
      <c r="F71" s="3">
        <f t="shared" si="1"/>
        <v>-75</v>
      </c>
    </row>
    <row r="72" spans="1:6" x14ac:dyDescent="0.3">
      <c r="A72" s="1" t="s">
        <v>22</v>
      </c>
      <c r="B72" s="1" t="s">
        <v>13</v>
      </c>
      <c r="C72" s="1" t="s">
        <v>14</v>
      </c>
      <c r="D72" s="2">
        <v>80</v>
      </c>
      <c r="E72" s="2">
        <v>155</v>
      </c>
      <c r="F72" s="3">
        <f t="shared" si="1"/>
        <v>75</v>
      </c>
    </row>
    <row r="73" spans="1:6" x14ac:dyDescent="0.3">
      <c r="A73" s="1" t="s">
        <v>23</v>
      </c>
      <c r="B73" s="1" t="s">
        <v>18</v>
      </c>
      <c r="C73" s="1" t="s">
        <v>14</v>
      </c>
      <c r="D73" s="2">
        <v>160</v>
      </c>
      <c r="E73" s="2">
        <v>100</v>
      </c>
      <c r="F73" s="3">
        <f t="shared" si="1"/>
        <v>-60</v>
      </c>
    </row>
    <row r="74" spans="1:6" x14ac:dyDescent="0.3">
      <c r="A74" s="1" t="s">
        <v>7</v>
      </c>
      <c r="B74" s="1" t="s">
        <v>8</v>
      </c>
      <c r="C74" s="1" t="s">
        <v>9</v>
      </c>
      <c r="D74" s="2">
        <v>160</v>
      </c>
      <c r="E74" s="2">
        <v>100</v>
      </c>
      <c r="F74" s="3">
        <f t="shared" si="1"/>
        <v>-60</v>
      </c>
    </row>
    <row r="75" spans="1:6" x14ac:dyDescent="0.3">
      <c r="A75" s="1" t="s">
        <v>10</v>
      </c>
      <c r="B75" s="1" t="s">
        <v>8</v>
      </c>
      <c r="C75" s="1" t="s">
        <v>9</v>
      </c>
      <c r="D75" s="2">
        <v>190</v>
      </c>
      <c r="E75" s="2">
        <v>75</v>
      </c>
      <c r="F75" s="3">
        <f t="shared" si="1"/>
        <v>-115</v>
      </c>
    </row>
    <row r="76" spans="1:6" x14ac:dyDescent="0.3">
      <c r="A76" s="1" t="s">
        <v>11</v>
      </c>
      <c r="B76" s="1" t="s">
        <v>8</v>
      </c>
      <c r="C76" s="1" t="s">
        <v>9</v>
      </c>
      <c r="D76" s="2">
        <v>120</v>
      </c>
      <c r="E76" s="2">
        <v>135</v>
      </c>
      <c r="F76" s="3">
        <f t="shared" si="1"/>
        <v>15</v>
      </c>
    </row>
    <row r="77" spans="1:6" x14ac:dyDescent="0.3">
      <c r="A77" s="1" t="s">
        <v>12</v>
      </c>
      <c r="B77" s="1" t="s">
        <v>13</v>
      </c>
      <c r="C77" s="1" t="s">
        <v>14</v>
      </c>
      <c r="D77" s="2">
        <v>80</v>
      </c>
      <c r="E77" s="2">
        <v>155</v>
      </c>
      <c r="F77" s="3">
        <f t="shared" si="1"/>
        <v>75</v>
      </c>
    </row>
    <row r="78" spans="1:6" x14ac:dyDescent="0.3">
      <c r="A78" s="1" t="s">
        <v>15</v>
      </c>
      <c r="B78" s="1" t="s">
        <v>16</v>
      </c>
      <c r="C78" s="1" t="s">
        <v>14</v>
      </c>
      <c r="D78" s="2">
        <v>165</v>
      </c>
      <c r="E78" s="2">
        <v>100</v>
      </c>
      <c r="F78" s="3">
        <f t="shared" si="1"/>
        <v>-65</v>
      </c>
    </row>
    <row r="79" spans="1:6" x14ac:dyDescent="0.3">
      <c r="A79" s="1" t="s">
        <v>17</v>
      </c>
      <c r="B79" s="1" t="s">
        <v>18</v>
      </c>
      <c r="C79" s="1" t="s">
        <v>14</v>
      </c>
      <c r="D79" s="2">
        <v>180</v>
      </c>
      <c r="E79" s="2">
        <v>100</v>
      </c>
      <c r="F79" s="3">
        <f t="shared" si="1"/>
        <v>-80</v>
      </c>
    </row>
    <row r="80" spans="1:6" x14ac:dyDescent="0.3">
      <c r="A80" s="1" t="s">
        <v>19</v>
      </c>
      <c r="B80" s="1" t="s">
        <v>20</v>
      </c>
      <c r="C80" s="1" t="s">
        <v>14</v>
      </c>
      <c r="D80" s="2">
        <v>145</v>
      </c>
      <c r="E80" s="2">
        <v>115</v>
      </c>
      <c r="F80" s="3">
        <f t="shared" si="1"/>
        <v>-30</v>
      </c>
    </row>
    <row r="81" spans="1:6" x14ac:dyDescent="0.3">
      <c r="A81" s="1" t="s">
        <v>21</v>
      </c>
      <c r="B81" s="1" t="s">
        <v>16</v>
      </c>
      <c r="C81" s="1" t="s">
        <v>14</v>
      </c>
      <c r="D81" s="2">
        <v>175</v>
      </c>
      <c r="E81" s="2">
        <v>100</v>
      </c>
      <c r="F81" s="3">
        <f t="shared" si="1"/>
        <v>-75</v>
      </c>
    </row>
    <row r="82" spans="1:6" x14ac:dyDescent="0.3">
      <c r="A82" s="1" t="s">
        <v>22</v>
      </c>
      <c r="B82" s="1" t="s">
        <v>13</v>
      </c>
      <c r="C82" s="1" t="s">
        <v>14</v>
      </c>
      <c r="D82" s="2">
        <v>80</v>
      </c>
      <c r="E82" s="2">
        <v>155</v>
      </c>
      <c r="F82" s="3">
        <f t="shared" si="1"/>
        <v>75</v>
      </c>
    </row>
    <row r="83" spans="1:6" x14ac:dyDescent="0.3">
      <c r="A83" s="1" t="s">
        <v>23</v>
      </c>
      <c r="B83" s="1" t="s">
        <v>18</v>
      </c>
      <c r="C83" s="1" t="s">
        <v>14</v>
      </c>
      <c r="D83" s="2">
        <v>160</v>
      </c>
      <c r="E83" s="2">
        <v>100</v>
      </c>
      <c r="F83" s="3">
        <f t="shared" si="1"/>
        <v>-60</v>
      </c>
    </row>
    <row r="84" spans="1:6" x14ac:dyDescent="0.3">
      <c r="A84" s="1" t="s">
        <v>7</v>
      </c>
      <c r="B84" s="1" t="s">
        <v>8</v>
      </c>
      <c r="C84" s="1" t="s">
        <v>9</v>
      </c>
      <c r="D84" s="2">
        <v>160</v>
      </c>
      <c r="E84" s="2">
        <v>100</v>
      </c>
      <c r="F84" s="3">
        <f t="shared" si="1"/>
        <v>-60</v>
      </c>
    </row>
    <row r="85" spans="1:6" x14ac:dyDescent="0.3">
      <c r="A85" s="1" t="s">
        <v>10</v>
      </c>
      <c r="B85" s="1" t="s">
        <v>8</v>
      </c>
      <c r="C85" s="1" t="s">
        <v>9</v>
      </c>
      <c r="D85" s="2">
        <v>190</v>
      </c>
      <c r="E85" s="2">
        <v>75</v>
      </c>
      <c r="F85" s="3">
        <f t="shared" si="1"/>
        <v>-115</v>
      </c>
    </row>
    <row r="86" spans="1:6" x14ac:dyDescent="0.3">
      <c r="A86" s="1" t="s">
        <v>11</v>
      </c>
      <c r="B86" s="1" t="s">
        <v>8</v>
      </c>
      <c r="C86" s="1" t="s">
        <v>9</v>
      </c>
      <c r="D86" s="2">
        <v>120</v>
      </c>
      <c r="E86" s="2">
        <v>135</v>
      </c>
      <c r="F86" s="3">
        <f t="shared" si="1"/>
        <v>15</v>
      </c>
    </row>
    <row r="87" spans="1:6" x14ac:dyDescent="0.3">
      <c r="A87" s="1" t="s">
        <v>12</v>
      </c>
      <c r="B87" s="1" t="s">
        <v>13</v>
      </c>
      <c r="C87" s="1" t="s">
        <v>14</v>
      </c>
      <c r="D87" s="2">
        <v>80</v>
      </c>
      <c r="E87" s="2">
        <v>155</v>
      </c>
      <c r="F87" s="3">
        <f t="shared" si="1"/>
        <v>75</v>
      </c>
    </row>
    <row r="88" spans="1:6" x14ac:dyDescent="0.3">
      <c r="A88" s="1" t="s">
        <v>15</v>
      </c>
      <c r="B88" s="1" t="s">
        <v>16</v>
      </c>
      <c r="C88" s="1" t="s">
        <v>14</v>
      </c>
      <c r="D88" s="2">
        <v>165</v>
      </c>
      <c r="E88" s="2">
        <v>100</v>
      </c>
      <c r="F88" s="3">
        <f t="shared" si="1"/>
        <v>-65</v>
      </c>
    </row>
    <row r="89" spans="1:6" x14ac:dyDescent="0.3">
      <c r="A89" s="1" t="s">
        <v>17</v>
      </c>
      <c r="B89" s="1" t="s">
        <v>18</v>
      </c>
      <c r="C89" s="1" t="s">
        <v>14</v>
      </c>
      <c r="D89" s="2">
        <v>180</v>
      </c>
      <c r="E89" s="2">
        <v>100</v>
      </c>
      <c r="F89" s="3">
        <f t="shared" si="1"/>
        <v>-80</v>
      </c>
    </row>
    <row r="90" spans="1:6" x14ac:dyDescent="0.3">
      <c r="A90" s="1" t="s">
        <v>19</v>
      </c>
      <c r="B90" s="1" t="s">
        <v>20</v>
      </c>
      <c r="C90" s="1" t="s">
        <v>14</v>
      </c>
      <c r="D90" s="2">
        <v>145</v>
      </c>
      <c r="E90" s="2">
        <v>115</v>
      </c>
      <c r="F90" s="3">
        <f t="shared" si="1"/>
        <v>-30</v>
      </c>
    </row>
    <row r="91" spans="1:6" x14ac:dyDescent="0.3">
      <c r="A91" s="1" t="s">
        <v>21</v>
      </c>
      <c r="B91" s="1" t="s">
        <v>16</v>
      </c>
      <c r="C91" s="1" t="s">
        <v>14</v>
      </c>
      <c r="D91" s="2">
        <v>175</v>
      </c>
      <c r="E91" s="2">
        <v>100</v>
      </c>
      <c r="F91" s="3">
        <f t="shared" si="1"/>
        <v>-75</v>
      </c>
    </row>
    <row r="92" spans="1:6" x14ac:dyDescent="0.3">
      <c r="A92" s="1" t="s">
        <v>22</v>
      </c>
      <c r="B92" s="1" t="s">
        <v>13</v>
      </c>
      <c r="C92" s="1" t="s">
        <v>14</v>
      </c>
      <c r="D92" s="2">
        <v>80</v>
      </c>
      <c r="E92" s="2">
        <v>155</v>
      </c>
      <c r="F92" s="3">
        <f t="shared" si="1"/>
        <v>75</v>
      </c>
    </row>
    <row r="93" spans="1:6" x14ac:dyDescent="0.3">
      <c r="A93" s="1" t="s">
        <v>23</v>
      </c>
      <c r="B93" s="1" t="s">
        <v>18</v>
      </c>
      <c r="C93" s="1" t="s">
        <v>14</v>
      </c>
      <c r="D93" s="2">
        <v>160</v>
      </c>
      <c r="E93" s="2">
        <v>100</v>
      </c>
      <c r="F93" s="3">
        <f t="shared" si="1"/>
        <v>-60</v>
      </c>
    </row>
    <row r="94" spans="1:6" x14ac:dyDescent="0.3">
      <c r="A94" s="1" t="s">
        <v>7</v>
      </c>
      <c r="B94" s="1" t="s">
        <v>8</v>
      </c>
      <c r="C94" s="1" t="s">
        <v>9</v>
      </c>
      <c r="D94" s="2">
        <v>160</v>
      </c>
      <c r="E94" s="2">
        <v>100</v>
      </c>
      <c r="F94" s="3">
        <f t="shared" si="1"/>
        <v>-60</v>
      </c>
    </row>
    <row r="95" spans="1:6" x14ac:dyDescent="0.3">
      <c r="A95" s="1" t="s">
        <v>10</v>
      </c>
      <c r="B95" s="1" t="s">
        <v>8</v>
      </c>
      <c r="C95" s="1" t="s">
        <v>9</v>
      </c>
      <c r="D95" s="2">
        <v>190</v>
      </c>
      <c r="E95" s="2">
        <v>75</v>
      </c>
      <c r="F95" s="3">
        <f t="shared" si="1"/>
        <v>-115</v>
      </c>
    </row>
    <row r="96" spans="1:6" x14ac:dyDescent="0.3">
      <c r="A96" s="1" t="s">
        <v>11</v>
      </c>
      <c r="B96" s="1" t="s">
        <v>8</v>
      </c>
      <c r="C96" s="1" t="s">
        <v>9</v>
      </c>
      <c r="D96" s="2">
        <v>120</v>
      </c>
      <c r="E96" s="2">
        <v>135</v>
      </c>
      <c r="F96" s="3">
        <f t="shared" si="1"/>
        <v>15</v>
      </c>
    </row>
    <row r="97" spans="1:6" x14ac:dyDescent="0.3">
      <c r="A97" s="1" t="s">
        <v>12</v>
      </c>
      <c r="B97" s="1" t="s">
        <v>13</v>
      </c>
      <c r="C97" s="1" t="s">
        <v>14</v>
      </c>
      <c r="D97" s="2">
        <v>80</v>
      </c>
      <c r="E97" s="2">
        <v>155</v>
      </c>
      <c r="F97" s="3">
        <f t="shared" si="1"/>
        <v>75</v>
      </c>
    </row>
    <row r="98" spans="1:6" x14ac:dyDescent="0.3">
      <c r="A98" s="1" t="s">
        <v>15</v>
      </c>
      <c r="B98" s="1" t="s">
        <v>16</v>
      </c>
      <c r="C98" s="1" t="s">
        <v>14</v>
      </c>
      <c r="D98" s="2">
        <v>165</v>
      </c>
      <c r="E98" s="2">
        <v>100</v>
      </c>
      <c r="F98" s="3">
        <f t="shared" si="1"/>
        <v>-65</v>
      </c>
    </row>
    <row r="99" spans="1:6" x14ac:dyDescent="0.3">
      <c r="A99" s="1" t="s">
        <v>17</v>
      </c>
      <c r="B99" s="1" t="s">
        <v>18</v>
      </c>
      <c r="C99" s="1" t="s">
        <v>14</v>
      </c>
      <c r="D99" s="2">
        <v>180</v>
      </c>
      <c r="E99" s="2">
        <v>100</v>
      </c>
      <c r="F99" s="3">
        <f t="shared" si="1"/>
        <v>-80</v>
      </c>
    </row>
    <row r="100" spans="1:6" x14ac:dyDescent="0.3">
      <c r="A100" s="1" t="s">
        <v>19</v>
      </c>
      <c r="B100" s="1" t="s">
        <v>20</v>
      </c>
      <c r="C100" s="1" t="s">
        <v>14</v>
      </c>
      <c r="D100" s="2">
        <v>145</v>
      </c>
      <c r="E100" s="2">
        <v>115</v>
      </c>
      <c r="F100" s="3">
        <f t="shared" si="1"/>
        <v>-30</v>
      </c>
    </row>
    <row r="101" spans="1:6" x14ac:dyDescent="0.3">
      <c r="A101" s="1" t="s">
        <v>21</v>
      </c>
      <c r="B101" s="1" t="s">
        <v>16</v>
      </c>
      <c r="C101" s="1" t="s">
        <v>14</v>
      </c>
      <c r="D101" s="2">
        <v>175</v>
      </c>
      <c r="E101" s="2">
        <v>100</v>
      </c>
      <c r="F101" s="3">
        <f t="shared" si="1"/>
        <v>-75</v>
      </c>
    </row>
    <row r="102" spans="1:6" x14ac:dyDescent="0.3">
      <c r="A102" s="1" t="s">
        <v>22</v>
      </c>
      <c r="B102" s="1" t="s">
        <v>13</v>
      </c>
      <c r="C102" s="1" t="s">
        <v>14</v>
      </c>
      <c r="D102" s="2">
        <v>80</v>
      </c>
      <c r="E102" s="2">
        <v>155</v>
      </c>
      <c r="F102" s="3">
        <f t="shared" si="1"/>
        <v>75</v>
      </c>
    </row>
    <row r="103" spans="1:6" x14ac:dyDescent="0.3">
      <c r="A103" s="1" t="s">
        <v>23</v>
      </c>
      <c r="B103" s="1" t="s">
        <v>18</v>
      </c>
      <c r="C103" s="1" t="s">
        <v>14</v>
      </c>
      <c r="D103" s="2">
        <v>160</v>
      </c>
      <c r="E103" s="2">
        <v>100</v>
      </c>
      <c r="F103" s="3">
        <f t="shared" si="1"/>
        <v>-60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1BA8-B025-41F6-881F-E86A6C76CBAB}">
  <dimension ref="A1:J84"/>
  <sheetViews>
    <sheetView showGridLines="0" workbookViewId="0">
      <selection activeCell="I7" sqref="I7"/>
    </sheetView>
  </sheetViews>
  <sheetFormatPr defaultRowHeight="14.4" x14ac:dyDescent="0.3"/>
  <cols>
    <col min="1" max="1" width="12.6640625" bestFit="1" customWidth="1"/>
    <col min="2" max="2" width="16" bestFit="1" customWidth="1"/>
    <col min="3" max="3" width="16.44140625" bestFit="1" customWidth="1"/>
    <col min="4" max="5" width="9.88671875" bestFit="1" customWidth="1"/>
    <col min="6" max="6" width="6.109375" bestFit="1" customWidth="1"/>
    <col min="7" max="7" width="11" bestFit="1" customWidth="1"/>
    <col min="8" max="8" width="11" customWidth="1"/>
    <col min="9" max="9" width="10" bestFit="1" customWidth="1"/>
    <col min="10" max="10" width="12.5546875" bestFit="1" customWidth="1"/>
  </cols>
  <sheetData>
    <row r="1" spans="1:10" ht="26.4" thickBot="1" x14ac:dyDescent="0.55000000000000004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</row>
    <row r="2" spans="1:10" ht="15" thickTop="1" x14ac:dyDescent="0.3"/>
    <row r="3" spans="1:10" ht="15" thickBot="1" x14ac:dyDescent="0.35">
      <c r="I3" s="7">
        <v>0.05</v>
      </c>
    </row>
    <row r="4" spans="1:10" ht="15.6" thickTop="1" thickBot="1" x14ac:dyDescent="0.35">
      <c r="A4" s="6" t="s">
        <v>25</v>
      </c>
      <c r="B4" s="6" t="s">
        <v>26</v>
      </c>
      <c r="C4" s="6" t="s">
        <v>27</v>
      </c>
      <c r="D4" s="6" t="s">
        <v>28</v>
      </c>
      <c r="E4" s="6" t="s">
        <v>2</v>
      </c>
      <c r="F4" s="6" t="s">
        <v>29</v>
      </c>
      <c r="G4" s="6" t="s">
        <v>30</v>
      </c>
      <c r="H4" s="6" t="s">
        <v>144</v>
      </c>
      <c r="I4" s="6" t="s">
        <v>31</v>
      </c>
      <c r="J4" s="6" t="s">
        <v>32</v>
      </c>
    </row>
    <row r="5" spans="1:10" ht="15" thickTop="1" x14ac:dyDescent="0.3">
      <c r="A5" s="4">
        <v>43072</v>
      </c>
      <c r="B5" s="2">
        <v>1</v>
      </c>
      <c r="C5" s="2" t="s">
        <v>33</v>
      </c>
      <c r="D5" s="2">
        <v>5</v>
      </c>
      <c r="E5" s="2" t="s">
        <v>34</v>
      </c>
      <c r="F5" s="2" t="s">
        <v>35</v>
      </c>
      <c r="G5" s="2">
        <v>3200</v>
      </c>
      <c r="H5" s="2">
        <f>G5*D5</f>
        <v>16000</v>
      </c>
      <c r="I5" s="5">
        <f>H5*I$3</f>
        <v>800</v>
      </c>
      <c r="J5" s="5">
        <f>H5+I5</f>
        <v>16800</v>
      </c>
    </row>
    <row r="6" spans="1:10" x14ac:dyDescent="0.3">
      <c r="A6" s="4">
        <v>43074</v>
      </c>
      <c r="B6" s="2">
        <v>2</v>
      </c>
      <c r="C6" s="2" t="s">
        <v>36</v>
      </c>
      <c r="D6" s="2">
        <v>3</v>
      </c>
      <c r="E6" s="2" t="s">
        <v>37</v>
      </c>
      <c r="F6" s="2" t="s">
        <v>38</v>
      </c>
      <c r="G6" s="2">
        <v>1250</v>
      </c>
      <c r="H6" s="2">
        <f t="shared" ref="H6:H69" si="0">G6*D6</f>
        <v>3750</v>
      </c>
      <c r="I6" s="5">
        <f>H6*I$3</f>
        <v>187.5</v>
      </c>
      <c r="J6" s="5">
        <f t="shared" ref="J6:J69" si="1">H6+I6</f>
        <v>3937.5</v>
      </c>
    </row>
    <row r="7" spans="1:10" x14ac:dyDescent="0.3">
      <c r="A7" s="4">
        <v>43079</v>
      </c>
      <c r="B7" s="2">
        <v>3</v>
      </c>
      <c r="C7" s="2" t="s">
        <v>39</v>
      </c>
      <c r="D7" s="2">
        <v>4</v>
      </c>
      <c r="E7" s="2" t="s">
        <v>37</v>
      </c>
      <c r="F7" s="2" t="s">
        <v>40</v>
      </c>
      <c r="G7" s="2">
        <v>1250</v>
      </c>
      <c r="H7" s="2">
        <f t="shared" si="0"/>
        <v>5000</v>
      </c>
      <c r="I7" s="5">
        <f t="shared" ref="I6:I69" si="2">H7*I$3</f>
        <v>250</v>
      </c>
      <c r="J7" s="5">
        <f t="shared" si="1"/>
        <v>5250</v>
      </c>
    </row>
    <row r="8" spans="1:10" x14ac:dyDescent="0.3">
      <c r="A8" s="4">
        <v>43081</v>
      </c>
      <c r="B8" s="2">
        <v>4</v>
      </c>
      <c r="C8" s="2" t="s">
        <v>41</v>
      </c>
      <c r="D8" s="2">
        <v>12</v>
      </c>
      <c r="E8" s="2" t="s">
        <v>42</v>
      </c>
      <c r="F8" s="2" t="s">
        <v>43</v>
      </c>
      <c r="G8" s="2">
        <v>150</v>
      </c>
      <c r="H8" s="2">
        <f t="shared" si="0"/>
        <v>1800</v>
      </c>
      <c r="I8" s="5">
        <f t="shared" si="2"/>
        <v>90</v>
      </c>
      <c r="J8" s="5">
        <f t="shared" si="1"/>
        <v>1890</v>
      </c>
    </row>
    <row r="9" spans="1:10" x14ac:dyDescent="0.3">
      <c r="A9" s="4">
        <v>43084</v>
      </c>
      <c r="B9" s="2">
        <v>5</v>
      </c>
      <c r="C9" s="2" t="s">
        <v>44</v>
      </c>
      <c r="D9" s="2">
        <v>6</v>
      </c>
      <c r="E9" s="2" t="s">
        <v>45</v>
      </c>
      <c r="F9" s="2" t="s">
        <v>46</v>
      </c>
      <c r="G9" s="2">
        <v>99</v>
      </c>
      <c r="H9" s="2">
        <f t="shared" si="0"/>
        <v>594</v>
      </c>
      <c r="I9" s="5">
        <f t="shared" si="2"/>
        <v>29.700000000000003</v>
      </c>
      <c r="J9" s="5">
        <f t="shared" si="1"/>
        <v>623.70000000000005</v>
      </c>
    </row>
    <row r="10" spans="1:10" x14ac:dyDescent="0.3">
      <c r="A10" s="4">
        <v>43089</v>
      </c>
      <c r="B10" s="2">
        <v>6</v>
      </c>
      <c r="C10" s="2" t="s">
        <v>47</v>
      </c>
      <c r="D10" s="2">
        <v>10</v>
      </c>
      <c r="E10" s="2" t="s">
        <v>34</v>
      </c>
      <c r="F10" s="2" t="s">
        <v>35</v>
      </c>
      <c r="G10" s="2">
        <v>3200</v>
      </c>
      <c r="H10" s="2">
        <f t="shared" si="0"/>
        <v>32000</v>
      </c>
      <c r="I10" s="5">
        <f t="shared" si="2"/>
        <v>1600</v>
      </c>
      <c r="J10" s="5">
        <f t="shared" si="1"/>
        <v>33600</v>
      </c>
    </row>
    <row r="11" spans="1:10" x14ac:dyDescent="0.3">
      <c r="A11" s="4">
        <v>43090</v>
      </c>
      <c r="B11" s="2">
        <v>7</v>
      </c>
      <c r="C11" s="2" t="s">
        <v>48</v>
      </c>
      <c r="D11" s="2">
        <v>5</v>
      </c>
      <c r="E11" s="2" t="s">
        <v>49</v>
      </c>
      <c r="F11" s="2" t="s">
        <v>50</v>
      </c>
      <c r="G11" s="2">
        <v>590</v>
      </c>
      <c r="H11" s="2">
        <f t="shared" si="0"/>
        <v>2950</v>
      </c>
      <c r="I11" s="5">
        <f t="shared" si="2"/>
        <v>147.5</v>
      </c>
      <c r="J11" s="5">
        <f t="shared" si="1"/>
        <v>3097.5</v>
      </c>
    </row>
    <row r="12" spans="1:10" x14ac:dyDescent="0.3">
      <c r="A12" s="4">
        <v>43092</v>
      </c>
      <c r="B12" s="2">
        <v>8</v>
      </c>
      <c r="C12" s="2" t="s">
        <v>51</v>
      </c>
      <c r="D12" s="2">
        <v>2</v>
      </c>
      <c r="E12" s="2" t="s">
        <v>45</v>
      </c>
      <c r="F12" s="2" t="s">
        <v>52</v>
      </c>
      <c r="G12" s="2">
        <v>99</v>
      </c>
      <c r="H12" s="2">
        <f t="shared" si="0"/>
        <v>198</v>
      </c>
      <c r="I12" s="5">
        <f t="shared" si="2"/>
        <v>9.9</v>
      </c>
      <c r="J12" s="5">
        <f t="shared" si="1"/>
        <v>207.9</v>
      </c>
    </row>
    <row r="13" spans="1:10" x14ac:dyDescent="0.3">
      <c r="A13" s="4">
        <v>43095</v>
      </c>
      <c r="B13" s="2">
        <v>9</v>
      </c>
      <c r="C13" s="2" t="s">
        <v>53</v>
      </c>
      <c r="D13" s="2">
        <v>10</v>
      </c>
      <c r="E13" s="2" t="s">
        <v>42</v>
      </c>
      <c r="F13" s="2" t="s">
        <v>54</v>
      </c>
      <c r="G13" s="2">
        <v>150</v>
      </c>
      <c r="H13" s="2">
        <f t="shared" si="0"/>
        <v>1500</v>
      </c>
      <c r="I13" s="5">
        <f t="shared" si="2"/>
        <v>75</v>
      </c>
      <c r="J13" s="5">
        <f t="shared" si="1"/>
        <v>1575</v>
      </c>
    </row>
    <row r="14" spans="1:10" x14ac:dyDescent="0.3">
      <c r="A14" s="4">
        <v>43099</v>
      </c>
      <c r="B14" s="2">
        <v>10</v>
      </c>
      <c r="C14" s="2" t="s">
        <v>55</v>
      </c>
      <c r="D14" s="2">
        <v>5</v>
      </c>
      <c r="E14" s="2" t="s">
        <v>49</v>
      </c>
      <c r="F14" s="2" t="s">
        <v>52</v>
      </c>
      <c r="G14" s="2">
        <v>590</v>
      </c>
      <c r="H14" s="2">
        <f t="shared" si="0"/>
        <v>2950</v>
      </c>
      <c r="I14" s="5">
        <f t="shared" si="2"/>
        <v>147.5</v>
      </c>
      <c r="J14" s="5">
        <f t="shared" si="1"/>
        <v>3097.5</v>
      </c>
    </row>
    <row r="15" spans="1:10" x14ac:dyDescent="0.3">
      <c r="A15" s="4">
        <v>43072</v>
      </c>
      <c r="B15" s="2">
        <v>11</v>
      </c>
      <c r="C15" s="2" t="s">
        <v>56</v>
      </c>
      <c r="D15" s="2">
        <v>3</v>
      </c>
      <c r="E15" s="2" t="s">
        <v>34</v>
      </c>
      <c r="F15" s="2" t="s">
        <v>35</v>
      </c>
      <c r="G15" s="2">
        <v>3200</v>
      </c>
      <c r="H15" s="2">
        <f t="shared" si="0"/>
        <v>9600</v>
      </c>
      <c r="I15" s="5">
        <f t="shared" si="2"/>
        <v>480</v>
      </c>
      <c r="J15" s="5">
        <f t="shared" si="1"/>
        <v>10080</v>
      </c>
    </row>
    <row r="16" spans="1:10" x14ac:dyDescent="0.3">
      <c r="A16" s="4">
        <v>43074</v>
      </c>
      <c r="B16" s="2">
        <v>12</v>
      </c>
      <c r="C16" s="2" t="s">
        <v>57</v>
      </c>
      <c r="D16" s="2">
        <v>3</v>
      </c>
      <c r="E16" s="2" t="s">
        <v>37</v>
      </c>
      <c r="F16" s="2" t="s">
        <v>38</v>
      </c>
      <c r="G16" s="2">
        <v>1250</v>
      </c>
      <c r="H16" s="2">
        <f t="shared" si="0"/>
        <v>3750</v>
      </c>
      <c r="I16" s="5">
        <f t="shared" si="2"/>
        <v>187.5</v>
      </c>
      <c r="J16" s="5">
        <f t="shared" si="1"/>
        <v>3937.5</v>
      </c>
    </row>
    <row r="17" spans="1:10" x14ac:dyDescent="0.3">
      <c r="A17" s="4">
        <v>43079</v>
      </c>
      <c r="B17" s="2">
        <v>13</v>
      </c>
      <c r="C17" s="2" t="s">
        <v>58</v>
      </c>
      <c r="D17" s="2">
        <v>4</v>
      </c>
      <c r="E17" s="2" t="s">
        <v>37</v>
      </c>
      <c r="F17" s="2" t="s">
        <v>40</v>
      </c>
      <c r="G17" s="2">
        <v>1250</v>
      </c>
      <c r="H17" s="2">
        <f t="shared" si="0"/>
        <v>5000</v>
      </c>
      <c r="I17" s="5">
        <f t="shared" si="2"/>
        <v>250</v>
      </c>
      <c r="J17" s="5">
        <f t="shared" si="1"/>
        <v>5250</v>
      </c>
    </row>
    <row r="18" spans="1:10" x14ac:dyDescent="0.3">
      <c r="A18" s="4">
        <v>43081</v>
      </c>
      <c r="B18" s="2">
        <v>14</v>
      </c>
      <c r="C18" s="2" t="s">
        <v>59</v>
      </c>
      <c r="D18" s="2">
        <v>12</v>
      </c>
      <c r="E18" s="2" t="s">
        <v>42</v>
      </c>
      <c r="F18" s="2" t="s">
        <v>43</v>
      </c>
      <c r="G18" s="2">
        <v>150</v>
      </c>
      <c r="H18" s="2">
        <f t="shared" si="0"/>
        <v>1800</v>
      </c>
      <c r="I18" s="5">
        <f t="shared" si="2"/>
        <v>90</v>
      </c>
      <c r="J18" s="5">
        <f t="shared" si="1"/>
        <v>1890</v>
      </c>
    </row>
    <row r="19" spans="1:10" x14ac:dyDescent="0.3">
      <c r="A19" s="4">
        <v>43084</v>
      </c>
      <c r="B19" s="2">
        <v>15</v>
      </c>
      <c r="C19" s="2" t="s">
        <v>60</v>
      </c>
      <c r="D19" s="2">
        <v>6</v>
      </c>
      <c r="E19" s="2" t="s">
        <v>45</v>
      </c>
      <c r="F19" s="2" t="s">
        <v>46</v>
      </c>
      <c r="G19" s="2">
        <v>99</v>
      </c>
      <c r="H19" s="2">
        <f t="shared" si="0"/>
        <v>594</v>
      </c>
      <c r="I19" s="5">
        <f t="shared" si="2"/>
        <v>29.700000000000003</v>
      </c>
      <c r="J19" s="5">
        <f t="shared" si="1"/>
        <v>623.70000000000005</v>
      </c>
    </row>
    <row r="20" spans="1:10" x14ac:dyDescent="0.3">
      <c r="A20" s="4">
        <v>43089</v>
      </c>
      <c r="B20" s="2">
        <v>16</v>
      </c>
      <c r="C20" s="2" t="s">
        <v>61</v>
      </c>
      <c r="D20" s="2">
        <v>10</v>
      </c>
      <c r="E20" s="2" t="s">
        <v>34</v>
      </c>
      <c r="F20" s="2" t="s">
        <v>35</v>
      </c>
      <c r="G20" s="2">
        <v>3200</v>
      </c>
      <c r="H20" s="2">
        <f t="shared" si="0"/>
        <v>32000</v>
      </c>
      <c r="I20" s="5">
        <f t="shared" si="2"/>
        <v>1600</v>
      </c>
      <c r="J20" s="5">
        <f t="shared" si="1"/>
        <v>33600</v>
      </c>
    </row>
    <row r="21" spans="1:10" x14ac:dyDescent="0.3">
      <c r="A21" s="4">
        <v>43090</v>
      </c>
      <c r="B21" s="2">
        <v>17</v>
      </c>
      <c r="C21" s="2" t="s">
        <v>62</v>
      </c>
      <c r="D21" s="2">
        <v>5</v>
      </c>
      <c r="E21" s="2" t="s">
        <v>49</v>
      </c>
      <c r="F21" s="2" t="s">
        <v>50</v>
      </c>
      <c r="G21" s="2">
        <v>590</v>
      </c>
      <c r="H21" s="2">
        <f t="shared" si="0"/>
        <v>2950</v>
      </c>
      <c r="I21" s="5">
        <f t="shared" si="2"/>
        <v>147.5</v>
      </c>
      <c r="J21" s="5">
        <f t="shared" si="1"/>
        <v>3097.5</v>
      </c>
    </row>
    <row r="22" spans="1:10" x14ac:dyDescent="0.3">
      <c r="A22" s="4">
        <v>43092</v>
      </c>
      <c r="B22" s="2">
        <v>18</v>
      </c>
      <c r="C22" s="2" t="s">
        <v>62</v>
      </c>
      <c r="D22" s="2">
        <v>2</v>
      </c>
      <c r="E22" s="2" t="s">
        <v>45</v>
      </c>
      <c r="F22" s="2" t="s">
        <v>52</v>
      </c>
      <c r="G22" s="2">
        <v>99</v>
      </c>
      <c r="H22" s="2">
        <f t="shared" si="0"/>
        <v>198</v>
      </c>
      <c r="I22" s="5">
        <f t="shared" si="2"/>
        <v>9.9</v>
      </c>
      <c r="J22" s="5">
        <f t="shared" si="1"/>
        <v>207.9</v>
      </c>
    </row>
    <row r="23" spans="1:10" x14ac:dyDescent="0.3">
      <c r="A23" s="4">
        <v>43095</v>
      </c>
      <c r="B23" s="2">
        <v>19</v>
      </c>
      <c r="C23" s="2" t="s">
        <v>63</v>
      </c>
      <c r="D23" s="2">
        <v>10</v>
      </c>
      <c r="E23" s="2" t="s">
        <v>42</v>
      </c>
      <c r="F23" s="2" t="s">
        <v>54</v>
      </c>
      <c r="G23" s="2">
        <v>150</v>
      </c>
      <c r="H23" s="2">
        <f t="shared" si="0"/>
        <v>1500</v>
      </c>
      <c r="I23" s="5">
        <f t="shared" si="2"/>
        <v>75</v>
      </c>
      <c r="J23" s="5">
        <f t="shared" si="1"/>
        <v>1575</v>
      </c>
    </row>
    <row r="24" spans="1:10" x14ac:dyDescent="0.3">
      <c r="A24" s="4">
        <v>43099</v>
      </c>
      <c r="B24" s="2">
        <v>20</v>
      </c>
      <c r="C24" s="2" t="s">
        <v>64</v>
      </c>
      <c r="D24" s="2">
        <v>5</v>
      </c>
      <c r="E24" s="2" t="s">
        <v>49</v>
      </c>
      <c r="F24" s="2" t="s">
        <v>52</v>
      </c>
      <c r="G24" s="2">
        <v>590</v>
      </c>
      <c r="H24" s="2">
        <f t="shared" si="0"/>
        <v>2950</v>
      </c>
      <c r="I24" s="5">
        <f t="shared" si="2"/>
        <v>147.5</v>
      </c>
      <c r="J24" s="5">
        <f t="shared" si="1"/>
        <v>3097.5</v>
      </c>
    </row>
    <row r="25" spans="1:10" x14ac:dyDescent="0.3">
      <c r="A25" s="4">
        <v>43072</v>
      </c>
      <c r="B25" s="2">
        <v>21</v>
      </c>
      <c r="C25" s="2" t="s">
        <v>65</v>
      </c>
      <c r="D25" s="2">
        <v>15</v>
      </c>
      <c r="E25" s="2" t="s">
        <v>34</v>
      </c>
      <c r="F25" s="2" t="s">
        <v>35</v>
      </c>
      <c r="G25" s="2">
        <v>3200</v>
      </c>
      <c r="H25" s="2">
        <f t="shared" si="0"/>
        <v>48000</v>
      </c>
      <c r="I25" s="5">
        <f t="shared" si="2"/>
        <v>2400</v>
      </c>
      <c r="J25" s="5">
        <f t="shared" si="1"/>
        <v>50400</v>
      </c>
    </row>
    <row r="26" spans="1:10" x14ac:dyDescent="0.3">
      <c r="A26" s="4">
        <v>43074</v>
      </c>
      <c r="B26" s="2">
        <v>22</v>
      </c>
      <c r="C26" s="2" t="s">
        <v>66</v>
      </c>
      <c r="D26" s="2">
        <v>3</v>
      </c>
      <c r="E26" s="2" t="s">
        <v>37</v>
      </c>
      <c r="F26" s="2" t="s">
        <v>38</v>
      </c>
      <c r="G26" s="2">
        <v>1250</v>
      </c>
      <c r="H26" s="2">
        <f t="shared" si="0"/>
        <v>3750</v>
      </c>
      <c r="I26" s="5">
        <f t="shared" si="2"/>
        <v>187.5</v>
      </c>
      <c r="J26" s="5">
        <f t="shared" si="1"/>
        <v>3937.5</v>
      </c>
    </row>
    <row r="27" spans="1:10" x14ac:dyDescent="0.3">
      <c r="A27" s="4">
        <v>43079</v>
      </c>
      <c r="B27" s="2">
        <v>23</v>
      </c>
      <c r="C27" s="2" t="s">
        <v>67</v>
      </c>
      <c r="D27" s="2">
        <v>4</v>
      </c>
      <c r="E27" s="2" t="s">
        <v>37</v>
      </c>
      <c r="F27" s="2" t="s">
        <v>40</v>
      </c>
      <c r="G27" s="2">
        <v>1250</v>
      </c>
      <c r="H27" s="2">
        <f t="shared" si="0"/>
        <v>5000</v>
      </c>
      <c r="I27" s="5">
        <f t="shared" si="2"/>
        <v>250</v>
      </c>
      <c r="J27" s="5">
        <f t="shared" si="1"/>
        <v>5250</v>
      </c>
    </row>
    <row r="28" spans="1:10" x14ac:dyDescent="0.3">
      <c r="A28" s="4">
        <v>43081</v>
      </c>
      <c r="B28" s="2">
        <v>24</v>
      </c>
      <c r="C28" s="2" t="s">
        <v>68</v>
      </c>
      <c r="D28" s="2">
        <v>12</v>
      </c>
      <c r="E28" s="2" t="s">
        <v>42</v>
      </c>
      <c r="F28" s="2" t="s">
        <v>43</v>
      </c>
      <c r="G28" s="2">
        <v>150</v>
      </c>
      <c r="H28" s="2">
        <f t="shared" si="0"/>
        <v>1800</v>
      </c>
      <c r="I28" s="5">
        <f t="shared" si="2"/>
        <v>90</v>
      </c>
      <c r="J28" s="5">
        <f t="shared" si="1"/>
        <v>1890</v>
      </c>
    </row>
    <row r="29" spans="1:10" x14ac:dyDescent="0.3">
      <c r="A29" s="4">
        <v>43084</v>
      </c>
      <c r="B29" s="2">
        <v>25</v>
      </c>
      <c r="C29" s="2" t="s">
        <v>69</v>
      </c>
      <c r="D29" s="2">
        <v>6</v>
      </c>
      <c r="E29" s="2" t="s">
        <v>45</v>
      </c>
      <c r="F29" s="2" t="s">
        <v>46</v>
      </c>
      <c r="G29" s="2">
        <v>99</v>
      </c>
      <c r="H29" s="2">
        <f t="shared" si="0"/>
        <v>594</v>
      </c>
      <c r="I29" s="5">
        <f t="shared" si="2"/>
        <v>29.700000000000003</v>
      </c>
      <c r="J29" s="5">
        <f t="shared" si="1"/>
        <v>623.70000000000005</v>
      </c>
    </row>
    <row r="30" spans="1:10" x14ac:dyDescent="0.3">
      <c r="A30" s="4">
        <v>43089</v>
      </c>
      <c r="B30" s="2">
        <v>26</v>
      </c>
      <c r="C30" s="2" t="s">
        <v>70</v>
      </c>
      <c r="D30" s="2">
        <v>10</v>
      </c>
      <c r="E30" s="2" t="s">
        <v>34</v>
      </c>
      <c r="F30" s="2" t="s">
        <v>35</v>
      </c>
      <c r="G30" s="2">
        <v>3200</v>
      </c>
      <c r="H30" s="2">
        <f t="shared" si="0"/>
        <v>32000</v>
      </c>
      <c r="I30" s="5">
        <f t="shared" si="2"/>
        <v>1600</v>
      </c>
      <c r="J30" s="5">
        <f t="shared" si="1"/>
        <v>33600</v>
      </c>
    </row>
    <row r="31" spans="1:10" x14ac:dyDescent="0.3">
      <c r="A31" s="4">
        <v>43090</v>
      </c>
      <c r="B31" s="2">
        <v>27</v>
      </c>
      <c r="C31" s="2" t="s">
        <v>71</v>
      </c>
      <c r="D31" s="2">
        <v>5</v>
      </c>
      <c r="E31" s="2" t="s">
        <v>49</v>
      </c>
      <c r="F31" s="2" t="s">
        <v>50</v>
      </c>
      <c r="G31" s="2">
        <v>590</v>
      </c>
      <c r="H31" s="2">
        <f t="shared" si="0"/>
        <v>2950</v>
      </c>
      <c r="I31" s="5">
        <f t="shared" si="2"/>
        <v>147.5</v>
      </c>
      <c r="J31" s="5">
        <f t="shared" si="1"/>
        <v>3097.5</v>
      </c>
    </row>
    <row r="32" spans="1:10" x14ac:dyDescent="0.3">
      <c r="A32" s="4">
        <v>43092</v>
      </c>
      <c r="B32" s="2">
        <v>28</v>
      </c>
      <c r="C32" s="2" t="s">
        <v>72</v>
      </c>
      <c r="D32" s="2">
        <v>2</v>
      </c>
      <c r="E32" s="2" t="s">
        <v>45</v>
      </c>
      <c r="F32" s="2" t="s">
        <v>52</v>
      </c>
      <c r="G32" s="2">
        <v>99</v>
      </c>
      <c r="H32" s="2">
        <f t="shared" si="0"/>
        <v>198</v>
      </c>
      <c r="I32" s="5">
        <f t="shared" si="2"/>
        <v>9.9</v>
      </c>
      <c r="J32" s="5">
        <f t="shared" si="1"/>
        <v>207.9</v>
      </c>
    </row>
    <row r="33" spans="1:10" x14ac:dyDescent="0.3">
      <c r="A33" s="4">
        <v>43095</v>
      </c>
      <c r="B33" s="2">
        <v>29</v>
      </c>
      <c r="C33" s="2" t="s">
        <v>73</v>
      </c>
      <c r="D33" s="2">
        <v>10</v>
      </c>
      <c r="E33" s="2" t="s">
        <v>42</v>
      </c>
      <c r="F33" s="2" t="s">
        <v>54</v>
      </c>
      <c r="G33" s="2">
        <v>150</v>
      </c>
      <c r="H33" s="2">
        <f t="shared" si="0"/>
        <v>1500</v>
      </c>
      <c r="I33" s="5">
        <f t="shared" si="2"/>
        <v>75</v>
      </c>
      <c r="J33" s="5">
        <f t="shared" si="1"/>
        <v>1575</v>
      </c>
    </row>
    <row r="34" spans="1:10" x14ac:dyDescent="0.3">
      <c r="A34" s="4">
        <v>43099</v>
      </c>
      <c r="B34" s="2">
        <v>30</v>
      </c>
      <c r="C34" s="2" t="s">
        <v>74</v>
      </c>
      <c r="D34" s="2">
        <v>5</v>
      </c>
      <c r="E34" s="2" t="s">
        <v>49</v>
      </c>
      <c r="F34" s="2" t="s">
        <v>52</v>
      </c>
      <c r="G34" s="2">
        <v>590</v>
      </c>
      <c r="H34" s="2">
        <f t="shared" si="0"/>
        <v>2950</v>
      </c>
      <c r="I34" s="5">
        <f t="shared" si="2"/>
        <v>147.5</v>
      </c>
      <c r="J34" s="5">
        <f t="shared" si="1"/>
        <v>3097.5</v>
      </c>
    </row>
    <row r="35" spans="1:10" x14ac:dyDescent="0.3">
      <c r="A35" s="4">
        <v>43072</v>
      </c>
      <c r="B35" s="2">
        <v>31</v>
      </c>
      <c r="C35" s="2" t="s">
        <v>75</v>
      </c>
      <c r="D35" s="2">
        <v>18</v>
      </c>
      <c r="E35" s="2" t="s">
        <v>34</v>
      </c>
      <c r="F35" s="2" t="s">
        <v>35</v>
      </c>
      <c r="G35" s="2">
        <v>3200</v>
      </c>
      <c r="H35" s="2">
        <f t="shared" si="0"/>
        <v>57600</v>
      </c>
      <c r="I35" s="5">
        <f t="shared" si="2"/>
        <v>2880</v>
      </c>
      <c r="J35" s="5">
        <f t="shared" si="1"/>
        <v>60480</v>
      </c>
    </row>
    <row r="36" spans="1:10" x14ac:dyDescent="0.3">
      <c r="A36" s="4">
        <v>43074</v>
      </c>
      <c r="B36" s="2">
        <v>32</v>
      </c>
      <c r="C36" s="2" t="s">
        <v>76</v>
      </c>
      <c r="D36" s="2">
        <v>3</v>
      </c>
      <c r="E36" s="2" t="s">
        <v>37</v>
      </c>
      <c r="F36" s="2" t="s">
        <v>38</v>
      </c>
      <c r="G36" s="2">
        <v>1250</v>
      </c>
      <c r="H36" s="2">
        <f t="shared" si="0"/>
        <v>3750</v>
      </c>
      <c r="I36" s="5">
        <f t="shared" si="2"/>
        <v>187.5</v>
      </c>
      <c r="J36" s="5">
        <f t="shared" si="1"/>
        <v>3937.5</v>
      </c>
    </row>
    <row r="37" spans="1:10" x14ac:dyDescent="0.3">
      <c r="A37" s="4">
        <v>43079</v>
      </c>
      <c r="B37" s="2">
        <v>33</v>
      </c>
      <c r="C37" s="2" t="s">
        <v>77</v>
      </c>
      <c r="D37" s="2">
        <v>4</v>
      </c>
      <c r="E37" s="2" t="s">
        <v>37</v>
      </c>
      <c r="F37" s="2" t="s">
        <v>40</v>
      </c>
      <c r="G37" s="2">
        <v>1250</v>
      </c>
      <c r="H37" s="2">
        <f t="shared" si="0"/>
        <v>5000</v>
      </c>
      <c r="I37" s="5">
        <f t="shared" si="2"/>
        <v>250</v>
      </c>
      <c r="J37" s="5">
        <f t="shared" si="1"/>
        <v>5250</v>
      </c>
    </row>
    <row r="38" spans="1:10" x14ac:dyDescent="0.3">
      <c r="A38" s="4">
        <v>43081</v>
      </c>
      <c r="B38" s="2">
        <v>34</v>
      </c>
      <c r="C38" s="2" t="s">
        <v>78</v>
      </c>
      <c r="D38" s="2">
        <v>12</v>
      </c>
      <c r="E38" s="2" t="s">
        <v>42</v>
      </c>
      <c r="F38" s="2" t="s">
        <v>43</v>
      </c>
      <c r="G38" s="2">
        <v>150</v>
      </c>
      <c r="H38" s="2">
        <f t="shared" si="0"/>
        <v>1800</v>
      </c>
      <c r="I38" s="5">
        <f t="shared" si="2"/>
        <v>90</v>
      </c>
      <c r="J38" s="5">
        <f t="shared" si="1"/>
        <v>1890</v>
      </c>
    </row>
    <row r="39" spans="1:10" x14ac:dyDescent="0.3">
      <c r="A39" s="4">
        <v>43084</v>
      </c>
      <c r="B39" s="2">
        <v>35</v>
      </c>
      <c r="C39" s="2" t="s">
        <v>79</v>
      </c>
      <c r="D39" s="2">
        <v>6</v>
      </c>
      <c r="E39" s="2" t="s">
        <v>45</v>
      </c>
      <c r="F39" s="2" t="s">
        <v>46</v>
      </c>
      <c r="G39" s="2">
        <v>99</v>
      </c>
      <c r="H39" s="2">
        <f t="shared" si="0"/>
        <v>594</v>
      </c>
      <c r="I39" s="5">
        <f t="shared" si="2"/>
        <v>29.700000000000003</v>
      </c>
      <c r="J39" s="5">
        <f t="shared" si="1"/>
        <v>623.70000000000005</v>
      </c>
    </row>
    <row r="40" spans="1:10" x14ac:dyDescent="0.3">
      <c r="A40" s="4">
        <v>43089</v>
      </c>
      <c r="B40" s="2">
        <v>36</v>
      </c>
      <c r="C40" s="2" t="s">
        <v>80</v>
      </c>
      <c r="D40" s="2">
        <v>10</v>
      </c>
      <c r="E40" s="2" t="s">
        <v>34</v>
      </c>
      <c r="F40" s="2" t="s">
        <v>35</v>
      </c>
      <c r="G40" s="2">
        <v>3200</v>
      </c>
      <c r="H40" s="2">
        <f t="shared" si="0"/>
        <v>32000</v>
      </c>
      <c r="I40" s="5">
        <f t="shared" si="2"/>
        <v>1600</v>
      </c>
      <c r="J40" s="5">
        <f t="shared" si="1"/>
        <v>33600</v>
      </c>
    </row>
    <row r="41" spans="1:10" x14ac:dyDescent="0.3">
      <c r="A41" s="4">
        <v>43090</v>
      </c>
      <c r="B41" s="2">
        <v>37</v>
      </c>
      <c r="C41" s="2" t="s">
        <v>81</v>
      </c>
      <c r="D41" s="2">
        <v>5</v>
      </c>
      <c r="E41" s="2" t="s">
        <v>49</v>
      </c>
      <c r="F41" s="2" t="s">
        <v>50</v>
      </c>
      <c r="G41" s="2">
        <v>590</v>
      </c>
      <c r="H41" s="2">
        <f t="shared" si="0"/>
        <v>2950</v>
      </c>
      <c r="I41" s="5">
        <f t="shared" si="2"/>
        <v>147.5</v>
      </c>
      <c r="J41" s="5">
        <f t="shared" si="1"/>
        <v>3097.5</v>
      </c>
    </row>
    <row r="42" spans="1:10" x14ac:dyDescent="0.3">
      <c r="A42" s="4">
        <v>43092</v>
      </c>
      <c r="B42" s="2">
        <v>38</v>
      </c>
      <c r="C42" s="2" t="s">
        <v>81</v>
      </c>
      <c r="D42" s="2">
        <v>2</v>
      </c>
      <c r="E42" s="2" t="s">
        <v>45</v>
      </c>
      <c r="F42" s="2" t="s">
        <v>52</v>
      </c>
      <c r="G42" s="2">
        <v>99</v>
      </c>
      <c r="H42" s="2">
        <f t="shared" si="0"/>
        <v>198</v>
      </c>
      <c r="I42" s="5">
        <f t="shared" si="2"/>
        <v>9.9</v>
      </c>
      <c r="J42" s="5">
        <f t="shared" si="1"/>
        <v>207.9</v>
      </c>
    </row>
    <row r="43" spans="1:10" x14ac:dyDescent="0.3">
      <c r="A43" s="4">
        <v>43095</v>
      </c>
      <c r="B43" s="2">
        <v>39</v>
      </c>
      <c r="C43" s="2" t="s">
        <v>82</v>
      </c>
      <c r="D43" s="2">
        <v>10</v>
      </c>
      <c r="E43" s="2" t="s">
        <v>42</v>
      </c>
      <c r="F43" s="2" t="s">
        <v>54</v>
      </c>
      <c r="G43" s="2">
        <v>150</v>
      </c>
      <c r="H43" s="2">
        <f t="shared" si="0"/>
        <v>1500</v>
      </c>
      <c r="I43" s="5">
        <f t="shared" si="2"/>
        <v>75</v>
      </c>
      <c r="J43" s="5">
        <f t="shared" si="1"/>
        <v>1575</v>
      </c>
    </row>
    <row r="44" spans="1:10" x14ac:dyDescent="0.3">
      <c r="A44" s="4">
        <v>43099</v>
      </c>
      <c r="B44" s="2">
        <v>40</v>
      </c>
      <c r="C44" s="2" t="s">
        <v>83</v>
      </c>
      <c r="D44" s="2">
        <v>5</v>
      </c>
      <c r="E44" s="2" t="s">
        <v>49</v>
      </c>
      <c r="F44" s="2" t="s">
        <v>52</v>
      </c>
      <c r="G44" s="2">
        <v>590</v>
      </c>
      <c r="H44" s="2">
        <f t="shared" si="0"/>
        <v>2950</v>
      </c>
      <c r="I44" s="5">
        <f t="shared" si="2"/>
        <v>147.5</v>
      </c>
      <c r="J44" s="5">
        <f t="shared" si="1"/>
        <v>3097.5</v>
      </c>
    </row>
    <row r="45" spans="1:10" x14ac:dyDescent="0.3">
      <c r="A45" s="4">
        <v>43072</v>
      </c>
      <c r="B45" s="2">
        <v>41</v>
      </c>
      <c r="C45" s="2" t="s">
        <v>84</v>
      </c>
      <c r="D45" s="2">
        <v>25</v>
      </c>
      <c r="E45" s="2" t="s">
        <v>34</v>
      </c>
      <c r="F45" s="2" t="s">
        <v>35</v>
      </c>
      <c r="G45" s="2">
        <v>3200</v>
      </c>
      <c r="H45" s="2">
        <f t="shared" si="0"/>
        <v>80000</v>
      </c>
      <c r="I45" s="5">
        <f t="shared" si="2"/>
        <v>4000</v>
      </c>
      <c r="J45" s="5">
        <f t="shared" si="1"/>
        <v>84000</v>
      </c>
    </row>
    <row r="46" spans="1:10" x14ac:dyDescent="0.3">
      <c r="A46" s="4">
        <v>43074</v>
      </c>
      <c r="B46" s="2">
        <v>42</v>
      </c>
      <c r="C46" s="2" t="s">
        <v>85</v>
      </c>
      <c r="D46" s="2">
        <v>3</v>
      </c>
      <c r="E46" s="2" t="s">
        <v>37</v>
      </c>
      <c r="F46" s="2" t="s">
        <v>38</v>
      </c>
      <c r="G46" s="2">
        <v>1250</v>
      </c>
      <c r="H46" s="2">
        <f t="shared" si="0"/>
        <v>3750</v>
      </c>
      <c r="I46" s="5">
        <f t="shared" si="2"/>
        <v>187.5</v>
      </c>
      <c r="J46" s="5">
        <f t="shared" si="1"/>
        <v>3937.5</v>
      </c>
    </row>
    <row r="47" spans="1:10" x14ac:dyDescent="0.3">
      <c r="A47" s="4">
        <v>43079</v>
      </c>
      <c r="B47" s="2">
        <v>43</v>
      </c>
      <c r="C47" s="2" t="s">
        <v>86</v>
      </c>
      <c r="D47" s="2">
        <v>4</v>
      </c>
      <c r="E47" s="2" t="s">
        <v>37</v>
      </c>
      <c r="F47" s="2" t="s">
        <v>40</v>
      </c>
      <c r="G47" s="2">
        <v>1250</v>
      </c>
      <c r="H47" s="2">
        <f t="shared" si="0"/>
        <v>5000</v>
      </c>
      <c r="I47" s="5">
        <f t="shared" si="2"/>
        <v>250</v>
      </c>
      <c r="J47" s="5">
        <f t="shared" si="1"/>
        <v>5250</v>
      </c>
    </row>
    <row r="48" spans="1:10" x14ac:dyDescent="0.3">
      <c r="A48" s="4">
        <v>43081</v>
      </c>
      <c r="B48" s="2">
        <v>44</v>
      </c>
      <c r="C48" s="2" t="s">
        <v>87</v>
      </c>
      <c r="D48" s="2">
        <v>12</v>
      </c>
      <c r="E48" s="2" t="s">
        <v>42</v>
      </c>
      <c r="F48" s="2" t="s">
        <v>43</v>
      </c>
      <c r="G48" s="2">
        <v>150</v>
      </c>
      <c r="H48" s="2">
        <f t="shared" si="0"/>
        <v>1800</v>
      </c>
      <c r="I48" s="5">
        <f t="shared" si="2"/>
        <v>90</v>
      </c>
      <c r="J48" s="5">
        <f t="shared" si="1"/>
        <v>1890</v>
      </c>
    </row>
    <row r="49" spans="1:10" x14ac:dyDescent="0.3">
      <c r="A49" s="4">
        <v>43084</v>
      </c>
      <c r="B49" s="2">
        <v>45</v>
      </c>
      <c r="C49" s="2" t="s">
        <v>88</v>
      </c>
      <c r="D49" s="2">
        <v>6</v>
      </c>
      <c r="E49" s="2" t="s">
        <v>45</v>
      </c>
      <c r="F49" s="2" t="s">
        <v>46</v>
      </c>
      <c r="G49" s="2">
        <v>99</v>
      </c>
      <c r="H49" s="2">
        <f t="shared" si="0"/>
        <v>594</v>
      </c>
      <c r="I49" s="5">
        <f t="shared" si="2"/>
        <v>29.700000000000003</v>
      </c>
      <c r="J49" s="5">
        <f t="shared" si="1"/>
        <v>623.70000000000005</v>
      </c>
    </row>
    <row r="50" spans="1:10" x14ac:dyDescent="0.3">
      <c r="A50" s="4">
        <v>43089</v>
      </c>
      <c r="B50" s="2">
        <v>46</v>
      </c>
      <c r="C50" s="2" t="s">
        <v>89</v>
      </c>
      <c r="D50" s="2">
        <v>10</v>
      </c>
      <c r="E50" s="2" t="s">
        <v>34</v>
      </c>
      <c r="F50" s="2" t="s">
        <v>35</v>
      </c>
      <c r="G50" s="2">
        <v>3200</v>
      </c>
      <c r="H50" s="2">
        <f t="shared" si="0"/>
        <v>32000</v>
      </c>
      <c r="I50" s="5">
        <f t="shared" si="2"/>
        <v>1600</v>
      </c>
      <c r="J50" s="5">
        <f t="shared" si="1"/>
        <v>33600</v>
      </c>
    </row>
    <row r="51" spans="1:10" x14ac:dyDescent="0.3">
      <c r="A51" s="4">
        <v>43090</v>
      </c>
      <c r="B51" s="2">
        <v>47</v>
      </c>
      <c r="C51" s="2" t="s">
        <v>90</v>
      </c>
      <c r="D51" s="2">
        <v>5</v>
      </c>
      <c r="E51" s="2" t="s">
        <v>49</v>
      </c>
      <c r="F51" s="2" t="s">
        <v>50</v>
      </c>
      <c r="G51" s="2">
        <v>590</v>
      </c>
      <c r="H51" s="2">
        <f t="shared" si="0"/>
        <v>2950</v>
      </c>
      <c r="I51" s="5">
        <f t="shared" si="2"/>
        <v>147.5</v>
      </c>
      <c r="J51" s="5">
        <f t="shared" si="1"/>
        <v>3097.5</v>
      </c>
    </row>
    <row r="52" spans="1:10" x14ac:dyDescent="0.3">
      <c r="A52" s="4">
        <v>43092</v>
      </c>
      <c r="B52" s="2">
        <v>48</v>
      </c>
      <c r="C52" s="2" t="s">
        <v>91</v>
      </c>
      <c r="D52" s="2">
        <v>2</v>
      </c>
      <c r="E52" s="2" t="s">
        <v>45</v>
      </c>
      <c r="F52" s="2" t="s">
        <v>52</v>
      </c>
      <c r="G52" s="2">
        <v>99</v>
      </c>
      <c r="H52" s="2">
        <f t="shared" si="0"/>
        <v>198</v>
      </c>
      <c r="I52" s="5">
        <f t="shared" si="2"/>
        <v>9.9</v>
      </c>
      <c r="J52" s="5">
        <f t="shared" si="1"/>
        <v>207.9</v>
      </c>
    </row>
    <row r="53" spans="1:10" x14ac:dyDescent="0.3">
      <c r="A53" s="4">
        <v>43095</v>
      </c>
      <c r="B53" s="2">
        <v>49</v>
      </c>
      <c r="C53" s="2" t="s">
        <v>92</v>
      </c>
      <c r="D53" s="2">
        <v>10</v>
      </c>
      <c r="E53" s="2" t="s">
        <v>42</v>
      </c>
      <c r="F53" s="2" t="s">
        <v>54</v>
      </c>
      <c r="G53" s="2">
        <v>150</v>
      </c>
      <c r="H53" s="2">
        <f t="shared" si="0"/>
        <v>1500</v>
      </c>
      <c r="I53" s="5">
        <f t="shared" si="2"/>
        <v>75</v>
      </c>
      <c r="J53" s="5">
        <f t="shared" si="1"/>
        <v>1575</v>
      </c>
    </row>
    <row r="54" spans="1:10" x14ac:dyDescent="0.3">
      <c r="A54" s="4">
        <v>43099</v>
      </c>
      <c r="B54" s="2">
        <v>50</v>
      </c>
      <c r="C54" s="2" t="s">
        <v>93</v>
      </c>
      <c r="D54" s="2">
        <v>5</v>
      </c>
      <c r="E54" s="2" t="s">
        <v>49</v>
      </c>
      <c r="F54" s="2" t="s">
        <v>52</v>
      </c>
      <c r="G54" s="2">
        <v>590</v>
      </c>
      <c r="H54" s="2">
        <f t="shared" si="0"/>
        <v>2950</v>
      </c>
      <c r="I54" s="5">
        <f t="shared" si="2"/>
        <v>147.5</v>
      </c>
      <c r="J54" s="5">
        <f t="shared" si="1"/>
        <v>3097.5</v>
      </c>
    </row>
    <row r="55" spans="1:10" x14ac:dyDescent="0.3">
      <c r="A55" s="4">
        <v>43072</v>
      </c>
      <c r="B55" s="2">
        <v>51</v>
      </c>
      <c r="C55" s="2" t="s">
        <v>94</v>
      </c>
      <c r="D55" s="2">
        <v>3</v>
      </c>
      <c r="E55" s="2" t="s">
        <v>34</v>
      </c>
      <c r="F55" s="2" t="s">
        <v>35</v>
      </c>
      <c r="G55" s="2">
        <v>3200</v>
      </c>
      <c r="H55" s="2">
        <f t="shared" si="0"/>
        <v>9600</v>
      </c>
      <c r="I55" s="5">
        <f t="shared" si="2"/>
        <v>480</v>
      </c>
      <c r="J55" s="5">
        <f t="shared" si="1"/>
        <v>10080</v>
      </c>
    </row>
    <row r="56" spans="1:10" x14ac:dyDescent="0.3">
      <c r="A56" s="4">
        <v>43074</v>
      </c>
      <c r="B56" s="2">
        <v>52</v>
      </c>
      <c r="C56" s="2" t="s">
        <v>95</v>
      </c>
      <c r="D56" s="2">
        <v>3</v>
      </c>
      <c r="E56" s="2" t="s">
        <v>37</v>
      </c>
      <c r="F56" s="2" t="s">
        <v>38</v>
      </c>
      <c r="G56" s="2">
        <v>1250</v>
      </c>
      <c r="H56" s="2">
        <f t="shared" si="0"/>
        <v>3750</v>
      </c>
      <c r="I56" s="5">
        <f t="shared" si="2"/>
        <v>187.5</v>
      </c>
      <c r="J56" s="5">
        <f t="shared" si="1"/>
        <v>3937.5</v>
      </c>
    </row>
    <row r="57" spans="1:10" x14ac:dyDescent="0.3">
      <c r="A57" s="4">
        <v>43079</v>
      </c>
      <c r="B57" s="2">
        <v>53</v>
      </c>
      <c r="C57" s="2" t="s">
        <v>96</v>
      </c>
      <c r="D57" s="2">
        <v>4</v>
      </c>
      <c r="E57" s="2" t="s">
        <v>37</v>
      </c>
      <c r="F57" s="2" t="s">
        <v>40</v>
      </c>
      <c r="G57" s="2">
        <v>1250</v>
      </c>
      <c r="H57" s="2">
        <f t="shared" si="0"/>
        <v>5000</v>
      </c>
      <c r="I57" s="5">
        <f t="shared" si="2"/>
        <v>250</v>
      </c>
      <c r="J57" s="5">
        <f t="shared" si="1"/>
        <v>5250</v>
      </c>
    </row>
    <row r="58" spans="1:10" x14ac:dyDescent="0.3">
      <c r="A58" s="4">
        <v>43081</v>
      </c>
      <c r="B58" s="2">
        <v>54</v>
      </c>
      <c r="C58" s="2" t="s">
        <v>97</v>
      </c>
      <c r="D58" s="2">
        <v>12</v>
      </c>
      <c r="E58" s="2" t="s">
        <v>42</v>
      </c>
      <c r="F58" s="2" t="s">
        <v>43</v>
      </c>
      <c r="G58" s="2">
        <v>150</v>
      </c>
      <c r="H58" s="2">
        <f t="shared" si="0"/>
        <v>1800</v>
      </c>
      <c r="I58" s="5">
        <f t="shared" si="2"/>
        <v>90</v>
      </c>
      <c r="J58" s="5">
        <f t="shared" si="1"/>
        <v>1890</v>
      </c>
    </row>
    <row r="59" spans="1:10" x14ac:dyDescent="0.3">
      <c r="A59" s="4">
        <v>43084</v>
      </c>
      <c r="B59" s="2">
        <v>55</v>
      </c>
      <c r="C59" s="2" t="s">
        <v>98</v>
      </c>
      <c r="D59" s="2">
        <v>6</v>
      </c>
      <c r="E59" s="2" t="s">
        <v>45</v>
      </c>
      <c r="F59" s="2" t="s">
        <v>46</v>
      </c>
      <c r="G59" s="2">
        <v>99</v>
      </c>
      <c r="H59" s="2">
        <f t="shared" si="0"/>
        <v>594</v>
      </c>
      <c r="I59" s="5">
        <f t="shared" si="2"/>
        <v>29.700000000000003</v>
      </c>
      <c r="J59" s="5">
        <f t="shared" si="1"/>
        <v>623.70000000000005</v>
      </c>
    </row>
    <row r="60" spans="1:10" x14ac:dyDescent="0.3">
      <c r="A60" s="4">
        <v>43089</v>
      </c>
      <c r="B60" s="2">
        <v>56</v>
      </c>
      <c r="C60" s="2" t="s">
        <v>99</v>
      </c>
      <c r="D60" s="2">
        <v>10</v>
      </c>
      <c r="E60" s="2" t="s">
        <v>34</v>
      </c>
      <c r="F60" s="2" t="s">
        <v>35</v>
      </c>
      <c r="G60" s="2">
        <v>3200</v>
      </c>
      <c r="H60" s="2">
        <f t="shared" si="0"/>
        <v>32000</v>
      </c>
      <c r="I60" s="5">
        <f t="shared" si="2"/>
        <v>1600</v>
      </c>
      <c r="J60" s="5">
        <f t="shared" si="1"/>
        <v>33600</v>
      </c>
    </row>
    <row r="61" spans="1:10" x14ac:dyDescent="0.3">
      <c r="A61" s="4">
        <v>43090</v>
      </c>
      <c r="B61" s="2">
        <v>57</v>
      </c>
      <c r="C61" s="2" t="s">
        <v>100</v>
      </c>
      <c r="D61" s="2">
        <v>5</v>
      </c>
      <c r="E61" s="2" t="s">
        <v>49</v>
      </c>
      <c r="F61" s="2" t="s">
        <v>50</v>
      </c>
      <c r="G61" s="2">
        <v>590</v>
      </c>
      <c r="H61" s="2">
        <f t="shared" si="0"/>
        <v>2950</v>
      </c>
      <c r="I61" s="5">
        <f t="shared" si="2"/>
        <v>147.5</v>
      </c>
      <c r="J61" s="5">
        <f t="shared" si="1"/>
        <v>3097.5</v>
      </c>
    </row>
    <row r="62" spans="1:10" x14ac:dyDescent="0.3">
      <c r="A62" s="4">
        <v>43092</v>
      </c>
      <c r="B62" s="2">
        <v>58</v>
      </c>
      <c r="C62" s="2" t="s">
        <v>101</v>
      </c>
      <c r="D62" s="2">
        <v>2</v>
      </c>
      <c r="E62" s="2" t="s">
        <v>45</v>
      </c>
      <c r="F62" s="2" t="s">
        <v>52</v>
      </c>
      <c r="G62" s="2">
        <v>99</v>
      </c>
      <c r="H62" s="2">
        <f t="shared" si="0"/>
        <v>198</v>
      </c>
      <c r="I62" s="5">
        <f t="shared" si="2"/>
        <v>9.9</v>
      </c>
      <c r="J62" s="5">
        <f t="shared" si="1"/>
        <v>207.9</v>
      </c>
    </row>
    <row r="63" spans="1:10" x14ac:dyDescent="0.3">
      <c r="A63" s="4">
        <v>43095</v>
      </c>
      <c r="B63" s="2">
        <v>59</v>
      </c>
      <c r="C63" s="2" t="s">
        <v>102</v>
      </c>
      <c r="D63" s="2">
        <v>10</v>
      </c>
      <c r="E63" s="2" t="s">
        <v>42</v>
      </c>
      <c r="F63" s="2" t="s">
        <v>54</v>
      </c>
      <c r="G63" s="2">
        <v>150</v>
      </c>
      <c r="H63" s="2">
        <f t="shared" si="0"/>
        <v>1500</v>
      </c>
      <c r="I63" s="5">
        <f t="shared" si="2"/>
        <v>75</v>
      </c>
      <c r="J63" s="5">
        <f t="shared" si="1"/>
        <v>1575</v>
      </c>
    </row>
    <row r="64" spans="1:10" x14ac:dyDescent="0.3">
      <c r="A64" s="4">
        <v>43099</v>
      </c>
      <c r="B64" s="2">
        <v>60</v>
      </c>
      <c r="C64" s="2" t="s">
        <v>103</v>
      </c>
      <c r="D64" s="2">
        <v>5</v>
      </c>
      <c r="E64" s="2" t="s">
        <v>49</v>
      </c>
      <c r="F64" s="2" t="s">
        <v>52</v>
      </c>
      <c r="G64" s="2">
        <v>590</v>
      </c>
      <c r="H64" s="2">
        <f t="shared" si="0"/>
        <v>2950</v>
      </c>
      <c r="I64" s="5">
        <f t="shared" si="2"/>
        <v>147.5</v>
      </c>
      <c r="J64" s="5">
        <f t="shared" si="1"/>
        <v>3097.5</v>
      </c>
    </row>
    <row r="65" spans="1:10" x14ac:dyDescent="0.3">
      <c r="A65" s="4">
        <v>43072</v>
      </c>
      <c r="B65" s="2">
        <v>61</v>
      </c>
      <c r="C65" s="2" t="s">
        <v>104</v>
      </c>
      <c r="D65" s="2">
        <v>5</v>
      </c>
      <c r="E65" s="2" t="s">
        <v>34</v>
      </c>
      <c r="F65" s="2" t="s">
        <v>35</v>
      </c>
      <c r="G65" s="2">
        <v>3200</v>
      </c>
      <c r="H65" s="2">
        <f t="shared" si="0"/>
        <v>16000</v>
      </c>
      <c r="I65" s="5">
        <f t="shared" si="2"/>
        <v>800</v>
      </c>
      <c r="J65" s="5">
        <f t="shared" si="1"/>
        <v>16800</v>
      </c>
    </row>
    <row r="66" spans="1:10" x14ac:dyDescent="0.3">
      <c r="A66" s="4">
        <v>43074</v>
      </c>
      <c r="B66" s="2">
        <v>62</v>
      </c>
      <c r="C66" s="2" t="s">
        <v>105</v>
      </c>
      <c r="D66" s="2">
        <v>3</v>
      </c>
      <c r="E66" s="2" t="s">
        <v>37</v>
      </c>
      <c r="F66" s="2" t="s">
        <v>38</v>
      </c>
      <c r="G66" s="2">
        <v>1250</v>
      </c>
      <c r="H66" s="2">
        <f t="shared" si="0"/>
        <v>3750</v>
      </c>
      <c r="I66" s="5">
        <f t="shared" si="2"/>
        <v>187.5</v>
      </c>
      <c r="J66" s="5">
        <f t="shared" si="1"/>
        <v>3937.5</v>
      </c>
    </row>
    <row r="67" spans="1:10" x14ac:dyDescent="0.3">
      <c r="A67" s="4">
        <v>43079</v>
      </c>
      <c r="B67" s="2">
        <v>63</v>
      </c>
      <c r="C67" s="2" t="s">
        <v>106</v>
      </c>
      <c r="D67" s="2">
        <v>4</v>
      </c>
      <c r="E67" s="2" t="s">
        <v>37</v>
      </c>
      <c r="F67" s="2" t="s">
        <v>40</v>
      </c>
      <c r="G67" s="2">
        <v>1250</v>
      </c>
      <c r="H67" s="2">
        <f t="shared" si="0"/>
        <v>5000</v>
      </c>
      <c r="I67" s="5">
        <f t="shared" si="2"/>
        <v>250</v>
      </c>
      <c r="J67" s="5">
        <f t="shared" si="1"/>
        <v>5250</v>
      </c>
    </row>
    <row r="68" spans="1:10" x14ac:dyDescent="0.3">
      <c r="A68" s="4">
        <v>43081</v>
      </c>
      <c r="B68" s="2">
        <v>64</v>
      </c>
      <c r="C68" s="2" t="s">
        <v>107</v>
      </c>
      <c r="D68" s="2">
        <v>12</v>
      </c>
      <c r="E68" s="2" t="s">
        <v>42</v>
      </c>
      <c r="F68" s="2" t="s">
        <v>43</v>
      </c>
      <c r="G68" s="2">
        <v>150</v>
      </c>
      <c r="H68" s="2">
        <f t="shared" si="0"/>
        <v>1800</v>
      </c>
      <c r="I68" s="5">
        <f t="shared" si="2"/>
        <v>90</v>
      </c>
      <c r="J68" s="5">
        <f t="shared" si="1"/>
        <v>1890</v>
      </c>
    </row>
    <row r="69" spans="1:10" x14ac:dyDescent="0.3">
      <c r="A69" s="4">
        <v>43084</v>
      </c>
      <c r="B69" s="2">
        <v>65</v>
      </c>
      <c r="C69" s="2" t="s">
        <v>108</v>
      </c>
      <c r="D69" s="2">
        <v>6</v>
      </c>
      <c r="E69" s="2" t="s">
        <v>45</v>
      </c>
      <c r="F69" s="2" t="s">
        <v>46</v>
      </c>
      <c r="G69" s="2">
        <v>99</v>
      </c>
      <c r="H69" s="2">
        <f t="shared" si="0"/>
        <v>594</v>
      </c>
      <c r="I69" s="5">
        <f t="shared" si="2"/>
        <v>29.700000000000003</v>
      </c>
      <c r="J69" s="5">
        <f t="shared" si="1"/>
        <v>623.70000000000005</v>
      </c>
    </row>
    <row r="70" spans="1:10" x14ac:dyDescent="0.3">
      <c r="A70" s="4">
        <v>43089</v>
      </c>
      <c r="B70" s="2">
        <v>66</v>
      </c>
      <c r="C70" s="2" t="s">
        <v>109</v>
      </c>
      <c r="D70" s="2">
        <v>10</v>
      </c>
      <c r="E70" s="2" t="s">
        <v>34</v>
      </c>
      <c r="F70" s="2" t="s">
        <v>35</v>
      </c>
      <c r="G70" s="2">
        <v>3200</v>
      </c>
      <c r="H70" s="2">
        <f t="shared" ref="H70:H84" si="3">G70*D70</f>
        <v>32000</v>
      </c>
      <c r="I70" s="5">
        <f t="shared" ref="I70:I84" si="4">H70*I$3</f>
        <v>1600</v>
      </c>
      <c r="J70" s="5">
        <f t="shared" ref="J70:J84" si="5">H70+I70</f>
        <v>33600</v>
      </c>
    </row>
    <row r="71" spans="1:10" x14ac:dyDescent="0.3">
      <c r="A71" s="4">
        <v>43090</v>
      </c>
      <c r="B71" s="2">
        <v>67</v>
      </c>
      <c r="C71" s="2" t="s">
        <v>110</v>
      </c>
      <c r="D71" s="2">
        <v>5</v>
      </c>
      <c r="E71" s="2" t="s">
        <v>49</v>
      </c>
      <c r="F71" s="2" t="s">
        <v>50</v>
      </c>
      <c r="G71" s="2">
        <v>590</v>
      </c>
      <c r="H71" s="2">
        <f t="shared" si="3"/>
        <v>2950</v>
      </c>
      <c r="I71" s="5">
        <f t="shared" si="4"/>
        <v>147.5</v>
      </c>
      <c r="J71" s="5">
        <f t="shared" si="5"/>
        <v>3097.5</v>
      </c>
    </row>
    <row r="72" spans="1:10" x14ac:dyDescent="0.3">
      <c r="A72" s="4">
        <v>43092</v>
      </c>
      <c r="B72" s="2">
        <v>68</v>
      </c>
      <c r="C72" s="2" t="s">
        <v>111</v>
      </c>
      <c r="D72" s="2">
        <v>2</v>
      </c>
      <c r="E72" s="2" t="s">
        <v>45</v>
      </c>
      <c r="F72" s="2" t="s">
        <v>52</v>
      </c>
      <c r="G72" s="2">
        <v>99</v>
      </c>
      <c r="H72" s="2">
        <f t="shared" si="3"/>
        <v>198</v>
      </c>
      <c r="I72" s="5">
        <f t="shared" si="4"/>
        <v>9.9</v>
      </c>
      <c r="J72" s="5">
        <f t="shared" si="5"/>
        <v>207.9</v>
      </c>
    </row>
    <row r="73" spans="1:10" x14ac:dyDescent="0.3">
      <c r="A73" s="4">
        <v>43095</v>
      </c>
      <c r="B73" s="2">
        <v>69</v>
      </c>
      <c r="C73" s="2" t="s">
        <v>112</v>
      </c>
      <c r="D73" s="2">
        <v>10</v>
      </c>
      <c r="E73" s="2" t="s">
        <v>42</v>
      </c>
      <c r="F73" s="2" t="s">
        <v>54</v>
      </c>
      <c r="G73" s="2">
        <v>150</v>
      </c>
      <c r="H73" s="2">
        <f t="shared" si="3"/>
        <v>1500</v>
      </c>
      <c r="I73" s="5">
        <f t="shared" si="4"/>
        <v>75</v>
      </c>
      <c r="J73" s="5">
        <f t="shared" si="5"/>
        <v>1575</v>
      </c>
    </row>
    <row r="74" spans="1:10" x14ac:dyDescent="0.3">
      <c r="A74" s="4">
        <v>43099</v>
      </c>
      <c r="B74" s="2">
        <v>70</v>
      </c>
      <c r="C74" s="2" t="s">
        <v>113</v>
      </c>
      <c r="D74" s="2">
        <v>5</v>
      </c>
      <c r="E74" s="2" t="s">
        <v>49</v>
      </c>
      <c r="F74" s="2" t="s">
        <v>52</v>
      </c>
      <c r="G74" s="2">
        <v>590</v>
      </c>
      <c r="H74" s="2">
        <f t="shared" si="3"/>
        <v>2950</v>
      </c>
      <c r="I74" s="5">
        <f t="shared" si="4"/>
        <v>147.5</v>
      </c>
      <c r="J74" s="5">
        <f t="shared" si="5"/>
        <v>3097.5</v>
      </c>
    </row>
    <row r="75" spans="1:10" x14ac:dyDescent="0.3">
      <c r="A75" s="4">
        <v>43072</v>
      </c>
      <c r="B75" s="2">
        <v>71</v>
      </c>
      <c r="C75" s="2" t="s">
        <v>114</v>
      </c>
      <c r="D75" s="2">
        <v>8</v>
      </c>
      <c r="E75" s="2" t="s">
        <v>34</v>
      </c>
      <c r="F75" s="2" t="s">
        <v>35</v>
      </c>
      <c r="G75" s="2">
        <v>3200</v>
      </c>
      <c r="H75" s="2">
        <f t="shared" si="3"/>
        <v>25600</v>
      </c>
      <c r="I75" s="5">
        <f t="shared" si="4"/>
        <v>1280</v>
      </c>
      <c r="J75" s="5">
        <f t="shared" si="5"/>
        <v>26880</v>
      </c>
    </row>
    <row r="76" spans="1:10" x14ac:dyDescent="0.3">
      <c r="A76" s="4">
        <v>43074</v>
      </c>
      <c r="B76" s="2">
        <v>72</v>
      </c>
      <c r="C76" s="2" t="s">
        <v>115</v>
      </c>
      <c r="D76" s="2">
        <v>3</v>
      </c>
      <c r="E76" s="2" t="s">
        <v>37</v>
      </c>
      <c r="F76" s="2" t="s">
        <v>38</v>
      </c>
      <c r="G76" s="2">
        <v>1250</v>
      </c>
      <c r="H76" s="2">
        <f t="shared" si="3"/>
        <v>3750</v>
      </c>
      <c r="I76" s="5">
        <f t="shared" si="4"/>
        <v>187.5</v>
      </c>
      <c r="J76" s="5">
        <f t="shared" si="5"/>
        <v>3937.5</v>
      </c>
    </row>
    <row r="77" spans="1:10" x14ac:dyDescent="0.3">
      <c r="A77" s="4">
        <v>43079</v>
      </c>
      <c r="B77" s="2">
        <v>73</v>
      </c>
      <c r="C77" s="2" t="s">
        <v>116</v>
      </c>
      <c r="D77" s="2">
        <v>4</v>
      </c>
      <c r="E77" s="2" t="s">
        <v>37</v>
      </c>
      <c r="F77" s="2" t="s">
        <v>40</v>
      </c>
      <c r="G77" s="2">
        <v>1250</v>
      </c>
      <c r="H77" s="2">
        <f t="shared" si="3"/>
        <v>5000</v>
      </c>
      <c r="I77" s="5">
        <f t="shared" si="4"/>
        <v>250</v>
      </c>
      <c r="J77" s="5">
        <f t="shared" si="5"/>
        <v>5250</v>
      </c>
    </row>
    <row r="78" spans="1:10" x14ac:dyDescent="0.3">
      <c r="A78" s="4">
        <v>43081</v>
      </c>
      <c r="B78" s="2">
        <v>74</v>
      </c>
      <c r="C78" s="2" t="s">
        <v>117</v>
      </c>
      <c r="D78" s="2">
        <v>12</v>
      </c>
      <c r="E78" s="2" t="s">
        <v>42</v>
      </c>
      <c r="F78" s="2" t="s">
        <v>43</v>
      </c>
      <c r="G78" s="2">
        <v>150</v>
      </c>
      <c r="H78" s="2">
        <f t="shared" si="3"/>
        <v>1800</v>
      </c>
      <c r="I78" s="5">
        <f t="shared" si="4"/>
        <v>90</v>
      </c>
      <c r="J78" s="5">
        <f t="shared" si="5"/>
        <v>1890</v>
      </c>
    </row>
    <row r="79" spans="1:10" x14ac:dyDescent="0.3">
      <c r="A79" s="4">
        <v>43084</v>
      </c>
      <c r="B79" s="2">
        <v>75</v>
      </c>
      <c r="C79" s="2" t="s">
        <v>118</v>
      </c>
      <c r="D79" s="2">
        <v>6</v>
      </c>
      <c r="E79" s="2" t="s">
        <v>45</v>
      </c>
      <c r="F79" s="2" t="s">
        <v>46</v>
      </c>
      <c r="G79" s="2">
        <v>99</v>
      </c>
      <c r="H79" s="2">
        <f t="shared" si="3"/>
        <v>594</v>
      </c>
      <c r="I79" s="5">
        <f t="shared" si="4"/>
        <v>29.700000000000003</v>
      </c>
      <c r="J79" s="5">
        <f t="shared" si="5"/>
        <v>623.70000000000005</v>
      </c>
    </row>
    <row r="80" spans="1:10" x14ac:dyDescent="0.3">
      <c r="A80" s="4">
        <v>43089</v>
      </c>
      <c r="B80" s="2">
        <v>76</v>
      </c>
      <c r="C80" s="2" t="s">
        <v>119</v>
      </c>
      <c r="D80" s="2">
        <v>10</v>
      </c>
      <c r="E80" s="2" t="s">
        <v>34</v>
      </c>
      <c r="F80" s="2" t="s">
        <v>35</v>
      </c>
      <c r="G80" s="2">
        <v>3200</v>
      </c>
      <c r="H80" s="2">
        <f t="shared" si="3"/>
        <v>32000</v>
      </c>
      <c r="I80" s="5">
        <f t="shared" si="4"/>
        <v>1600</v>
      </c>
      <c r="J80" s="5">
        <f t="shared" si="5"/>
        <v>33600</v>
      </c>
    </row>
    <row r="81" spans="1:10" x14ac:dyDescent="0.3">
      <c r="A81" s="4">
        <v>43090</v>
      </c>
      <c r="B81" s="2">
        <v>77</v>
      </c>
      <c r="C81" s="2" t="s">
        <v>120</v>
      </c>
      <c r="D81" s="2">
        <v>5</v>
      </c>
      <c r="E81" s="2" t="s">
        <v>49</v>
      </c>
      <c r="F81" s="2" t="s">
        <v>50</v>
      </c>
      <c r="G81" s="2">
        <v>590</v>
      </c>
      <c r="H81" s="2">
        <f t="shared" si="3"/>
        <v>2950</v>
      </c>
      <c r="I81" s="5">
        <f t="shared" si="4"/>
        <v>147.5</v>
      </c>
      <c r="J81" s="5">
        <f t="shared" si="5"/>
        <v>3097.5</v>
      </c>
    </row>
    <row r="82" spans="1:10" x14ac:dyDescent="0.3">
      <c r="A82" s="4">
        <v>43092</v>
      </c>
      <c r="B82" s="2">
        <v>78</v>
      </c>
      <c r="C82" s="2" t="s">
        <v>121</v>
      </c>
      <c r="D82" s="2">
        <v>2</v>
      </c>
      <c r="E82" s="2" t="s">
        <v>45</v>
      </c>
      <c r="F82" s="2" t="s">
        <v>52</v>
      </c>
      <c r="G82" s="2">
        <v>99</v>
      </c>
      <c r="H82" s="2">
        <f t="shared" si="3"/>
        <v>198</v>
      </c>
      <c r="I82" s="5">
        <f t="shared" si="4"/>
        <v>9.9</v>
      </c>
      <c r="J82" s="5">
        <f t="shared" si="5"/>
        <v>207.9</v>
      </c>
    </row>
    <row r="83" spans="1:10" x14ac:dyDescent="0.3">
      <c r="A83" s="4">
        <v>43095</v>
      </c>
      <c r="B83" s="2">
        <v>79</v>
      </c>
      <c r="C83" s="2" t="s">
        <v>122</v>
      </c>
      <c r="D83" s="2">
        <v>10</v>
      </c>
      <c r="E83" s="2" t="s">
        <v>42</v>
      </c>
      <c r="F83" s="2" t="s">
        <v>54</v>
      </c>
      <c r="G83" s="2">
        <v>150</v>
      </c>
      <c r="H83" s="2">
        <f t="shared" si="3"/>
        <v>1500</v>
      </c>
      <c r="I83" s="5">
        <f t="shared" si="4"/>
        <v>75</v>
      </c>
      <c r="J83" s="5">
        <f t="shared" si="5"/>
        <v>1575</v>
      </c>
    </row>
    <row r="84" spans="1:10" x14ac:dyDescent="0.3">
      <c r="A84" s="4">
        <v>43099</v>
      </c>
      <c r="B84" s="2">
        <v>80</v>
      </c>
      <c r="C84" s="2" t="s">
        <v>123</v>
      </c>
      <c r="D84" s="2">
        <v>5</v>
      </c>
      <c r="E84" s="2" t="s">
        <v>49</v>
      </c>
      <c r="F84" s="2" t="s">
        <v>52</v>
      </c>
      <c r="G84" s="2">
        <v>590</v>
      </c>
      <c r="H84" s="2">
        <f t="shared" si="3"/>
        <v>2950</v>
      </c>
      <c r="I84" s="5">
        <f t="shared" si="4"/>
        <v>147.5</v>
      </c>
      <c r="J84" s="5">
        <f t="shared" si="5"/>
        <v>3097.5</v>
      </c>
    </row>
  </sheetData>
  <mergeCells count="1">
    <mergeCell ref="A1:J1"/>
  </mergeCells>
  <dataValidations disablePrompts="1" count="1">
    <dataValidation type="custom" allowBlank="1" showInputMessage="1" showErrorMessage="1" sqref="E5:E84" xr:uid="{D9B13643-A4CB-4351-A250-1689A29B8119}">
      <formula1>ISTEXT($E$5:$E$14)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0549750-AAEC-4838-B18F-C6E4F7BC6F51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 gte="0">
                <xm:f>40000</xm:f>
              </x14:cfvo>
              <x14:cfIcon iconSet="NoIcons" iconId="0"/>
              <x14:cfIcon iconSet="NoIcons" iconId="0"/>
              <x14:cfIcon iconSet="3Symbols2" iconId="2"/>
            </x14:iconSet>
          </x14:cfRule>
          <xm:sqref>J5:J84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8097-C677-41F4-9E66-14F320BDBCDB}">
  <dimension ref="A1:H99"/>
  <sheetViews>
    <sheetView showGridLines="0" tabSelected="1" workbookViewId="0">
      <selection activeCell="H10" sqref="H10"/>
    </sheetView>
  </sheetViews>
  <sheetFormatPr defaultRowHeight="14.4" x14ac:dyDescent="0.3"/>
  <cols>
    <col min="1" max="1" width="21.5546875" bestFit="1" customWidth="1"/>
    <col min="2" max="2" width="9.33203125" customWidth="1"/>
    <col min="3" max="6" width="9" bestFit="1" customWidth="1"/>
    <col min="7" max="8" width="10.109375" bestFit="1" customWidth="1"/>
  </cols>
  <sheetData>
    <row r="1" spans="1:8" ht="26.4" thickBot="1" x14ac:dyDescent="0.55000000000000004">
      <c r="A1" s="9" t="s">
        <v>141</v>
      </c>
      <c r="B1" s="9"/>
      <c r="C1" s="9"/>
      <c r="D1" s="9"/>
      <c r="E1" s="9"/>
      <c r="F1" s="9"/>
      <c r="G1" s="9"/>
      <c r="H1" s="9"/>
    </row>
    <row r="2" spans="1:8" ht="15" thickTop="1" x14ac:dyDescent="0.3"/>
    <row r="3" spans="1:8" x14ac:dyDescent="0.3">
      <c r="A3" s="10" t="s">
        <v>143</v>
      </c>
      <c r="B3" s="10"/>
      <c r="C3" s="10"/>
      <c r="D3" s="10"/>
      <c r="E3" s="10"/>
      <c r="F3" s="10"/>
      <c r="G3" s="10"/>
      <c r="H3" s="10"/>
    </row>
    <row r="4" spans="1:8" ht="15" thickBot="1" x14ac:dyDescent="0.35">
      <c r="A4" s="11" t="s">
        <v>124</v>
      </c>
      <c r="B4" s="13" t="s">
        <v>142</v>
      </c>
      <c r="C4" s="8">
        <v>0.12</v>
      </c>
      <c r="D4" s="8">
        <v>0.08</v>
      </c>
      <c r="E4" s="8">
        <v>0.15</v>
      </c>
      <c r="F4" s="8">
        <v>0.25</v>
      </c>
      <c r="G4" s="8">
        <v>0.22</v>
      </c>
      <c r="H4" s="8">
        <v>0.18</v>
      </c>
    </row>
    <row r="5" spans="1:8" ht="16.5" customHeight="1" thickTop="1" thickBot="1" x14ac:dyDescent="0.35">
      <c r="A5" s="12"/>
      <c r="B5" s="14"/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130</v>
      </c>
    </row>
    <row r="6" spans="1:8" ht="15" thickTop="1" x14ac:dyDescent="0.3">
      <c r="A6" s="1" t="s">
        <v>131</v>
      </c>
      <c r="B6" s="1">
        <v>164506</v>
      </c>
      <c r="C6" s="1">
        <f>$B6*C$4</f>
        <v>19740.719999999998</v>
      </c>
      <c r="D6" s="1">
        <f t="shared" ref="D6:H21" si="0">$B6*D$4</f>
        <v>13160.48</v>
      </c>
      <c r="E6" s="1">
        <f t="shared" si="0"/>
        <v>24675.899999999998</v>
      </c>
      <c r="F6" s="1">
        <f t="shared" si="0"/>
        <v>41126.5</v>
      </c>
      <c r="G6" s="1">
        <f t="shared" si="0"/>
        <v>36191.32</v>
      </c>
      <c r="H6" s="1">
        <f t="shared" si="0"/>
        <v>29611.079999999998</v>
      </c>
    </row>
    <row r="7" spans="1:8" x14ac:dyDescent="0.3">
      <c r="A7" s="1" t="s">
        <v>132</v>
      </c>
      <c r="B7" s="1">
        <v>186343</v>
      </c>
      <c r="C7" s="1">
        <f t="shared" ref="C7:G70" si="1">$B7*C$4</f>
        <v>22361.16</v>
      </c>
      <c r="D7" s="1">
        <f t="shared" si="0"/>
        <v>14907.44</v>
      </c>
      <c r="E7" s="1">
        <f t="shared" si="0"/>
        <v>27951.45</v>
      </c>
      <c r="F7" s="1">
        <f t="shared" si="0"/>
        <v>46585.75</v>
      </c>
      <c r="G7" s="1">
        <f t="shared" si="0"/>
        <v>40995.46</v>
      </c>
      <c r="H7" s="1">
        <f t="shared" si="0"/>
        <v>33541.74</v>
      </c>
    </row>
    <row r="8" spans="1:8" x14ac:dyDescent="0.3">
      <c r="A8" s="1" t="s">
        <v>133</v>
      </c>
      <c r="B8" s="1">
        <v>155543</v>
      </c>
      <c r="C8" s="1">
        <f t="shared" si="1"/>
        <v>18665.16</v>
      </c>
      <c r="D8" s="1">
        <f t="shared" si="0"/>
        <v>12443.44</v>
      </c>
      <c r="E8" s="1">
        <f t="shared" si="0"/>
        <v>23331.45</v>
      </c>
      <c r="F8" s="1">
        <f t="shared" si="0"/>
        <v>38885.75</v>
      </c>
      <c r="G8" s="1">
        <f t="shared" si="0"/>
        <v>34219.46</v>
      </c>
      <c r="H8" s="1">
        <f t="shared" si="0"/>
        <v>27997.739999999998</v>
      </c>
    </row>
    <row r="9" spans="1:8" x14ac:dyDescent="0.3">
      <c r="A9" s="1" t="s">
        <v>134</v>
      </c>
      <c r="B9" s="1">
        <v>101719</v>
      </c>
      <c r="C9" s="1">
        <f t="shared" si="1"/>
        <v>12206.279999999999</v>
      </c>
      <c r="D9" s="1">
        <f t="shared" si="0"/>
        <v>8137.52</v>
      </c>
      <c r="E9" s="1">
        <f t="shared" si="0"/>
        <v>15257.849999999999</v>
      </c>
      <c r="F9" s="1">
        <f t="shared" si="0"/>
        <v>25429.75</v>
      </c>
      <c r="G9" s="1">
        <f t="shared" si="0"/>
        <v>22378.18</v>
      </c>
      <c r="H9" s="1">
        <f t="shared" si="0"/>
        <v>18309.419999999998</v>
      </c>
    </row>
    <row r="10" spans="1:8" x14ac:dyDescent="0.3">
      <c r="A10" s="1" t="s">
        <v>135</v>
      </c>
      <c r="B10" s="1">
        <v>192612</v>
      </c>
      <c r="C10" s="1">
        <f t="shared" si="1"/>
        <v>23113.439999999999</v>
      </c>
      <c r="D10" s="1">
        <f t="shared" si="0"/>
        <v>15408.960000000001</v>
      </c>
      <c r="E10" s="1">
        <f t="shared" si="0"/>
        <v>28891.8</v>
      </c>
      <c r="F10" s="1">
        <f t="shared" si="0"/>
        <v>48153</v>
      </c>
      <c r="G10" s="1">
        <f t="shared" si="0"/>
        <v>42374.64</v>
      </c>
      <c r="H10" s="1">
        <f t="shared" si="0"/>
        <v>34670.159999999996</v>
      </c>
    </row>
    <row r="11" spans="1:8" x14ac:dyDescent="0.3">
      <c r="A11" s="1" t="s">
        <v>136</v>
      </c>
      <c r="B11" s="1">
        <v>198205</v>
      </c>
      <c r="C11" s="1">
        <f t="shared" si="1"/>
        <v>23784.6</v>
      </c>
      <c r="D11" s="1">
        <f t="shared" si="0"/>
        <v>15856.4</v>
      </c>
      <c r="E11" s="1">
        <f t="shared" si="0"/>
        <v>29730.75</v>
      </c>
      <c r="F11" s="1">
        <f t="shared" si="0"/>
        <v>49551.25</v>
      </c>
      <c r="G11" s="1">
        <f t="shared" si="0"/>
        <v>43605.1</v>
      </c>
      <c r="H11" s="1">
        <f t="shared" si="0"/>
        <v>35676.9</v>
      </c>
    </row>
    <row r="12" spans="1:8" x14ac:dyDescent="0.3">
      <c r="A12" s="1" t="s">
        <v>137</v>
      </c>
      <c r="B12" s="1">
        <v>160259</v>
      </c>
      <c r="C12" s="1">
        <f t="shared" si="1"/>
        <v>19231.079999999998</v>
      </c>
      <c r="D12" s="1">
        <f t="shared" si="0"/>
        <v>12820.720000000001</v>
      </c>
      <c r="E12" s="1">
        <f t="shared" si="0"/>
        <v>24038.85</v>
      </c>
      <c r="F12" s="1">
        <f t="shared" si="0"/>
        <v>40064.75</v>
      </c>
      <c r="G12" s="1">
        <f t="shared" si="0"/>
        <v>35256.980000000003</v>
      </c>
      <c r="H12" s="1">
        <f t="shared" si="0"/>
        <v>28846.62</v>
      </c>
    </row>
    <row r="13" spans="1:8" x14ac:dyDescent="0.3">
      <c r="A13" s="1" t="s">
        <v>138</v>
      </c>
      <c r="B13" s="1">
        <v>102034</v>
      </c>
      <c r="C13" s="1">
        <f t="shared" si="1"/>
        <v>12244.08</v>
      </c>
      <c r="D13" s="1">
        <f t="shared" si="0"/>
        <v>8162.72</v>
      </c>
      <c r="E13" s="1">
        <f t="shared" si="0"/>
        <v>15305.099999999999</v>
      </c>
      <c r="F13" s="1">
        <f t="shared" si="0"/>
        <v>25508.5</v>
      </c>
      <c r="G13" s="1">
        <f t="shared" si="0"/>
        <v>22447.48</v>
      </c>
      <c r="H13" s="1">
        <f t="shared" si="0"/>
        <v>18366.12</v>
      </c>
    </row>
    <row r="14" spans="1:8" x14ac:dyDescent="0.3">
      <c r="A14" s="1" t="s">
        <v>139</v>
      </c>
      <c r="B14" s="1">
        <v>167168</v>
      </c>
      <c r="C14" s="1">
        <f t="shared" si="1"/>
        <v>20060.16</v>
      </c>
      <c r="D14" s="1">
        <f t="shared" si="0"/>
        <v>13373.44</v>
      </c>
      <c r="E14" s="1">
        <f t="shared" si="0"/>
        <v>25075.200000000001</v>
      </c>
      <c r="F14" s="1">
        <f t="shared" si="0"/>
        <v>41792</v>
      </c>
      <c r="G14" s="1">
        <f t="shared" si="0"/>
        <v>36776.959999999999</v>
      </c>
      <c r="H14" s="1">
        <f t="shared" si="0"/>
        <v>30090.239999999998</v>
      </c>
    </row>
    <row r="15" spans="1:8" x14ac:dyDescent="0.3">
      <c r="A15" s="1" t="s">
        <v>140</v>
      </c>
      <c r="B15" s="1">
        <v>136425</v>
      </c>
      <c r="C15" s="1">
        <f t="shared" si="1"/>
        <v>16371</v>
      </c>
      <c r="D15" s="1">
        <f t="shared" si="0"/>
        <v>10914</v>
      </c>
      <c r="E15" s="1">
        <f t="shared" si="0"/>
        <v>20463.75</v>
      </c>
      <c r="F15" s="1">
        <f t="shared" si="0"/>
        <v>34106.25</v>
      </c>
      <c r="G15" s="1">
        <f t="shared" si="0"/>
        <v>30013.5</v>
      </c>
      <c r="H15" s="1">
        <f t="shared" si="0"/>
        <v>24556.5</v>
      </c>
    </row>
    <row r="16" spans="1:8" x14ac:dyDescent="0.3">
      <c r="A16" s="1" t="s">
        <v>131</v>
      </c>
      <c r="B16" s="1">
        <v>105123</v>
      </c>
      <c r="C16" s="1">
        <f t="shared" si="1"/>
        <v>12614.76</v>
      </c>
      <c r="D16" s="1">
        <f t="shared" si="0"/>
        <v>8409.84</v>
      </c>
      <c r="E16" s="1">
        <f t="shared" si="0"/>
        <v>15768.449999999999</v>
      </c>
      <c r="F16" s="1">
        <f t="shared" si="0"/>
        <v>26280.75</v>
      </c>
      <c r="G16" s="1">
        <f t="shared" si="0"/>
        <v>23127.06</v>
      </c>
      <c r="H16" s="1">
        <f t="shared" si="0"/>
        <v>18922.14</v>
      </c>
    </row>
    <row r="17" spans="1:8" x14ac:dyDescent="0.3">
      <c r="A17" s="1" t="s">
        <v>132</v>
      </c>
      <c r="B17" s="1">
        <v>103627</v>
      </c>
      <c r="C17" s="1">
        <f t="shared" si="1"/>
        <v>12435.24</v>
      </c>
      <c r="D17" s="1">
        <f t="shared" si="0"/>
        <v>8290.16</v>
      </c>
      <c r="E17" s="1">
        <f t="shared" si="0"/>
        <v>15544.05</v>
      </c>
      <c r="F17" s="1">
        <f t="shared" si="0"/>
        <v>25906.75</v>
      </c>
      <c r="G17" s="1">
        <f t="shared" si="0"/>
        <v>22797.94</v>
      </c>
      <c r="H17" s="1">
        <f t="shared" si="0"/>
        <v>18652.86</v>
      </c>
    </row>
    <row r="18" spans="1:8" x14ac:dyDescent="0.3">
      <c r="A18" s="1" t="s">
        <v>133</v>
      </c>
      <c r="B18" s="1">
        <v>135386</v>
      </c>
      <c r="C18" s="1">
        <f t="shared" si="1"/>
        <v>16246.32</v>
      </c>
      <c r="D18" s="1">
        <f t="shared" si="0"/>
        <v>10830.880000000001</v>
      </c>
      <c r="E18" s="1">
        <f t="shared" si="0"/>
        <v>20307.899999999998</v>
      </c>
      <c r="F18" s="1">
        <f t="shared" si="0"/>
        <v>33846.5</v>
      </c>
      <c r="G18" s="1">
        <f t="shared" si="0"/>
        <v>29784.920000000002</v>
      </c>
      <c r="H18" s="1">
        <f t="shared" si="0"/>
        <v>24369.48</v>
      </c>
    </row>
    <row r="19" spans="1:8" x14ac:dyDescent="0.3">
      <c r="A19" s="1" t="s">
        <v>134</v>
      </c>
      <c r="B19" s="1">
        <v>114934</v>
      </c>
      <c r="C19" s="1">
        <f t="shared" si="1"/>
        <v>13792.08</v>
      </c>
      <c r="D19" s="1">
        <f t="shared" si="0"/>
        <v>9194.7199999999993</v>
      </c>
      <c r="E19" s="1">
        <f t="shared" si="0"/>
        <v>17240.099999999999</v>
      </c>
      <c r="F19" s="1">
        <f t="shared" si="0"/>
        <v>28733.5</v>
      </c>
      <c r="G19" s="1">
        <f t="shared" si="0"/>
        <v>25285.48</v>
      </c>
      <c r="H19" s="1">
        <f t="shared" si="0"/>
        <v>20688.12</v>
      </c>
    </row>
    <row r="20" spans="1:8" x14ac:dyDescent="0.3">
      <c r="A20" s="1" t="s">
        <v>135</v>
      </c>
      <c r="B20" s="1">
        <v>142060</v>
      </c>
      <c r="C20" s="1">
        <f t="shared" si="1"/>
        <v>17047.2</v>
      </c>
      <c r="D20" s="1">
        <f t="shared" si="0"/>
        <v>11364.800000000001</v>
      </c>
      <c r="E20" s="1">
        <f t="shared" si="0"/>
        <v>21309</v>
      </c>
      <c r="F20" s="1">
        <f t="shared" si="0"/>
        <v>35515</v>
      </c>
      <c r="G20" s="1">
        <f t="shared" si="0"/>
        <v>31253.200000000001</v>
      </c>
      <c r="H20" s="1">
        <f t="shared" si="0"/>
        <v>25570.799999999999</v>
      </c>
    </row>
    <row r="21" spans="1:8" x14ac:dyDescent="0.3">
      <c r="A21" s="1" t="s">
        <v>136</v>
      </c>
      <c r="B21" s="1">
        <v>160959</v>
      </c>
      <c r="C21" s="1">
        <f t="shared" si="1"/>
        <v>19315.079999999998</v>
      </c>
      <c r="D21" s="1">
        <f t="shared" si="0"/>
        <v>12876.720000000001</v>
      </c>
      <c r="E21" s="1">
        <f t="shared" si="0"/>
        <v>24143.85</v>
      </c>
      <c r="F21" s="1">
        <f t="shared" si="0"/>
        <v>40239.75</v>
      </c>
      <c r="G21" s="1">
        <f t="shared" si="0"/>
        <v>35410.980000000003</v>
      </c>
      <c r="H21" s="1">
        <f t="shared" si="0"/>
        <v>28972.62</v>
      </c>
    </row>
    <row r="22" spans="1:8" x14ac:dyDescent="0.3">
      <c r="A22" s="1" t="s">
        <v>137</v>
      </c>
      <c r="B22" s="1">
        <v>184337</v>
      </c>
      <c r="C22" s="1">
        <f t="shared" si="1"/>
        <v>22120.44</v>
      </c>
      <c r="D22" s="1">
        <f t="shared" si="1"/>
        <v>14746.960000000001</v>
      </c>
      <c r="E22" s="1">
        <f t="shared" si="1"/>
        <v>27650.55</v>
      </c>
      <c r="F22" s="1">
        <f t="shared" si="1"/>
        <v>46084.25</v>
      </c>
      <c r="G22" s="1">
        <f t="shared" si="1"/>
        <v>40554.14</v>
      </c>
      <c r="H22" s="1">
        <f t="shared" ref="H22:H85" si="2">$B22*H$4</f>
        <v>33180.659999999996</v>
      </c>
    </row>
    <row r="23" spans="1:8" x14ac:dyDescent="0.3">
      <c r="A23" s="1" t="s">
        <v>138</v>
      </c>
      <c r="B23" s="1">
        <v>183237</v>
      </c>
      <c r="C23" s="1">
        <f t="shared" si="1"/>
        <v>21988.44</v>
      </c>
      <c r="D23" s="1">
        <f t="shared" si="1"/>
        <v>14658.960000000001</v>
      </c>
      <c r="E23" s="1">
        <f t="shared" si="1"/>
        <v>27485.55</v>
      </c>
      <c r="F23" s="1">
        <f t="shared" si="1"/>
        <v>45809.25</v>
      </c>
      <c r="G23" s="1">
        <f t="shared" si="1"/>
        <v>40312.14</v>
      </c>
      <c r="H23" s="1">
        <f t="shared" si="2"/>
        <v>32982.659999999996</v>
      </c>
    </row>
    <row r="24" spans="1:8" x14ac:dyDescent="0.3">
      <c r="A24" s="1" t="s">
        <v>139</v>
      </c>
      <c r="B24" s="1">
        <v>194040</v>
      </c>
      <c r="C24" s="1">
        <f t="shared" si="1"/>
        <v>23284.799999999999</v>
      </c>
      <c r="D24" s="1">
        <f t="shared" si="1"/>
        <v>15523.2</v>
      </c>
      <c r="E24" s="1">
        <f t="shared" si="1"/>
        <v>29106</v>
      </c>
      <c r="F24" s="1">
        <f t="shared" si="1"/>
        <v>48510</v>
      </c>
      <c r="G24" s="1">
        <f t="shared" si="1"/>
        <v>42688.800000000003</v>
      </c>
      <c r="H24" s="1">
        <f t="shared" si="2"/>
        <v>34927.199999999997</v>
      </c>
    </row>
    <row r="25" spans="1:8" x14ac:dyDescent="0.3">
      <c r="A25" s="1" t="s">
        <v>140</v>
      </c>
      <c r="B25" s="1">
        <v>111377</v>
      </c>
      <c r="C25" s="1">
        <f t="shared" si="1"/>
        <v>13365.24</v>
      </c>
      <c r="D25" s="1">
        <f t="shared" si="1"/>
        <v>8910.16</v>
      </c>
      <c r="E25" s="1">
        <f t="shared" si="1"/>
        <v>16706.55</v>
      </c>
      <c r="F25" s="1">
        <f t="shared" si="1"/>
        <v>27844.25</v>
      </c>
      <c r="G25" s="1">
        <f t="shared" si="1"/>
        <v>24502.94</v>
      </c>
      <c r="H25" s="1">
        <f t="shared" si="2"/>
        <v>20047.86</v>
      </c>
    </row>
    <row r="26" spans="1:8" x14ac:dyDescent="0.3">
      <c r="A26" s="1" t="s">
        <v>131</v>
      </c>
      <c r="B26" s="1">
        <v>139512</v>
      </c>
      <c r="C26" s="1">
        <f t="shared" si="1"/>
        <v>16741.439999999999</v>
      </c>
      <c r="D26" s="1">
        <f t="shared" si="1"/>
        <v>11160.960000000001</v>
      </c>
      <c r="E26" s="1">
        <f t="shared" si="1"/>
        <v>20926.8</v>
      </c>
      <c r="F26" s="1">
        <f t="shared" si="1"/>
        <v>34878</v>
      </c>
      <c r="G26" s="1">
        <f t="shared" si="1"/>
        <v>30692.639999999999</v>
      </c>
      <c r="H26" s="1">
        <f t="shared" si="2"/>
        <v>25112.16</v>
      </c>
    </row>
    <row r="27" spans="1:8" x14ac:dyDescent="0.3">
      <c r="A27" s="1" t="s">
        <v>132</v>
      </c>
      <c r="B27" s="1">
        <v>126653</v>
      </c>
      <c r="C27" s="1">
        <f t="shared" si="1"/>
        <v>15198.359999999999</v>
      </c>
      <c r="D27" s="1">
        <f t="shared" si="1"/>
        <v>10132.24</v>
      </c>
      <c r="E27" s="1">
        <f t="shared" si="1"/>
        <v>18997.95</v>
      </c>
      <c r="F27" s="1">
        <f t="shared" si="1"/>
        <v>31663.25</v>
      </c>
      <c r="G27" s="1">
        <f t="shared" si="1"/>
        <v>27863.66</v>
      </c>
      <c r="H27" s="1">
        <f t="shared" si="2"/>
        <v>22797.54</v>
      </c>
    </row>
    <row r="28" spans="1:8" x14ac:dyDescent="0.3">
      <c r="A28" s="1" t="s">
        <v>133</v>
      </c>
      <c r="B28" s="1">
        <v>138233</v>
      </c>
      <c r="C28" s="1">
        <f t="shared" si="1"/>
        <v>16587.96</v>
      </c>
      <c r="D28" s="1">
        <f t="shared" si="1"/>
        <v>11058.64</v>
      </c>
      <c r="E28" s="1">
        <f t="shared" si="1"/>
        <v>20734.95</v>
      </c>
      <c r="F28" s="1">
        <f t="shared" si="1"/>
        <v>34558.25</v>
      </c>
      <c r="G28" s="1">
        <f t="shared" si="1"/>
        <v>30411.26</v>
      </c>
      <c r="H28" s="1">
        <f t="shared" si="2"/>
        <v>24881.94</v>
      </c>
    </row>
    <row r="29" spans="1:8" x14ac:dyDescent="0.3">
      <c r="A29" s="1" t="s">
        <v>134</v>
      </c>
      <c r="B29" s="1">
        <v>118987</v>
      </c>
      <c r="C29" s="1">
        <f t="shared" si="1"/>
        <v>14278.439999999999</v>
      </c>
      <c r="D29" s="1">
        <f t="shared" si="1"/>
        <v>9518.9600000000009</v>
      </c>
      <c r="E29" s="1">
        <f t="shared" si="1"/>
        <v>17848.05</v>
      </c>
      <c r="F29" s="1">
        <f t="shared" si="1"/>
        <v>29746.75</v>
      </c>
      <c r="G29" s="1">
        <f t="shared" si="1"/>
        <v>26177.14</v>
      </c>
      <c r="H29" s="1">
        <f t="shared" si="2"/>
        <v>21417.66</v>
      </c>
    </row>
    <row r="30" spans="1:8" x14ac:dyDescent="0.3">
      <c r="A30" s="1" t="s">
        <v>135</v>
      </c>
      <c r="B30" s="1">
        <v>107527</v>
      </c>
      <c r="C30" s="1">
        <f t="shared" si="1"/>
        <v>12903.24</v>
      </c>
      <c r="D30" s="1">
        <f t="shared" si="1"/>
        <v>8602.16</v>
      </c>
      <c r="E30" s="1">
        <f t="shared" si="1"/>
        <v>16129.05</v>
      </c>
      <c r="F30" s="1">
        <f t="shared" si="1"/>
        <v>26881.75</v>
      </c>
      <c r="G30" s="1">
        <f t="shared" si="1"/>
        <v>23655.94</v>
      </c>
      <c r="H30" s="1">
        <f t="shared" si="2"/>
        <v>19354.86</v>
      </c>
    </row>
    <row r="31" spans="1:8" x14ac:dyDescent="0.3">
      <c r="A31" s="1" t="s">
        <v>136</v>
      </c>
      <c r="B31" s="1">
        <v>154351</v>
      </c>
      <c r="C31" s="1">
        <f t="shared" si="1"/>
        <v>18522.12</v>
      </c>
      <c r="D31" s="1">
        <f t="shared" si="1"/>
        <v>12348.08</v>
      </c>
      <c r="E31" s="1">
        <f t="shared" si="1"/>
        <v>23152.649999999998</v>
      </c>
      <c r="F31" s="1">
        <f t="shared" si="1"/>
        <v>38587.75</v>
      </c>
      <c r="G31" s="1">
        <f t="shared" si="1"/>
        <v>33957.22</v>
      </c>
      <c r="H31" s="1">
        <f t="shared" si="2"/>
        <v>27783.18</v>
      </c>
    </row>
    <row r="32" spans="1:8" x14ac:dyDescent="0.3">
      <c r="A32" s="1" t="s">
        <v>137</v>
      </c>
      <c r="B32" s="1">
        <v>149181</v>
      </c>
      <c r="C32" s="1">
        <f t="shared" si="1"/>
        <v>17901.719999999998</v>
      </c>
      <c r="D32" s="1">
        <f t="shared" si="1"/>
        <v>11934.48</v>
      </c>
      <c r="E32" s="1">
        <f t="shared" si="1"/>
        <v>22377.149999999998</v>
      </c>
      <c r="F32" s="1">
        <f t="shared" si="1"/>
        <v>37295.25</v>
      </c>
      <c r="G32" s="1">
        <f t="shared" si="1"/>
        <v>32819.82</v>
      </c>
      <c r="H32" s="1">
        <f t="shared" si="2"/>
        <v>26852.579999999998</v>
      </c>
    </row>
    <row r="33" spans="1:8" x14ac:dyDescent="0.3">
      <c r="A33" s="1" t="s">
        <v>138</v>
      </c>
      <c r="B33" s="1">
        <v>178276</v>
      </c>
      <c r="C33" s="1">
        <f t="shared" si="1"/>
        <v>21393.119999999999</v>
      </c>
      <c r="D33" s="1">
        <f t="shared" si="1"/>
        <v>14262.08</v>
      </c>
      <c r="E33" s="1">
        <f t="shared" si="1"/>
        <v>26741.399999999998</v>
      </c>
      <c r="F33" s="1">
        <f t="shared" si="1"/>
        <v>44569</v>
      </c>
      <c r="G33" s="1">
        <f t="shared" si="1"/>
        <v>39220.720000000001</v>
      </c>
      <c r="H33" s="1">
        <f t="shared" si="2"/>
        <v>32089.68</v>
      </c>
    </row>
    <row r="34" spans="1:8" x14ac:dyDescent="0.3">
      <c r="A34" s="1" t="s">
        <v>139</v>
      </c>
      <c r="B34" s="1">
        <v>118363</v>
      </c>
      <c r="C34" s="1">
        <f t="shared" si="1"/>
        <v>14203.56</v>
      </c>
      <c r="D34" s="1">
        <f t="shared" si="1"/>
        <v>9469.0400000000009</v>
      </c>
      <c r="E34" s="1">
        <f t="shared" si="1"/>
        <v>17754.45</v>
      </c>
      <c r="F34" s="1">
        <f t="shared" si="1"/>
        <v>29590.75</v>
      </c>
      <c r="G34" s="1">
        <f t="shared" si="1"/>
        <v>26039.86</v>
      </c>
      <c r="H34" s="1">
        <f t="shared" si="2"/>
        <v>21305.34</v>
      </c>
    </row>
    <row r="35" spans="1:8" x14ac:dyDescent="0.3">
      <c r="A35" s="1" t="s">
        <v>140</v>
      </c>
      <c r="B35" s="1">
        <v>131477</v>
      </c>
      <c r="C35" s="1">
        <f t="shared" si="1"/>
        <v>15777.24</v>
      </c>
      <c r="D35" s="1">
        <f t="shared" si="1"/>
        <v>10518.16</v>
      </c>
      <c r="E35" s="1">
        <f t="shared" si="1"/>
        <v>19721.55</v>
      </c>
      <c r="F35" s="1">
        <f t="shared" si="1"/>
        <v>32869.25</v>
      </c>
      <c r="G35" s="1">
        <f t="shared" si="1"/>
        <v>28924.94</v>
      </c>
      <c r="H35" s="1">
        <f t="shared" si="2"/>
        <v>23665.86</v>
      </c>
    </row>
    <row r="36" spans="1:8" x14ac:dyDescent="0.3">
      <c r="A36" s="1" t="s">
        <v>131</v>
      </c>
      <c r="B36" s="1">
        <v>142257</v>
      </c>
      <c r="C36" s="1">
        <f t="shared" si="1"/>
        <v>17070.84</v>
      </c>
      <c r="D36" s="1">
        <f t="shared" si="1"/>
        <v>11380.56</v>
      </c>
      <c r="E36" s="1">
        <f t="shared" si="1"/>
        <v>21338.55</v>
      </c>
      <c r="F36" s="1">
        <f t="shared" si="1"/>
        <v>35564.25</v>
      </c>
      <c r="G36" s="1">
        <f t="shared" si="1"/>
        <v>31296.54</v>
      </c>
      <c r="H36" s="1">
        <f t="shared" si="2"/>
        <v>25606.26</v>
      </c>
    </row>
    <row r="37" spans="1:8" x14ac:dyDescent="0.3">
      <c r="A37" s="1" t="s">
        <v>132</v>
      </c>
      <c r="B37" s="1">
        <v>134646</v>
      </c>
      <c r="C37" s="1">
        <f t="shared" si="1"/>
        <v>16157.519999999999</v>
      </c>
      <c r="D37" s="1">
        <f t="shared" si="1"/>
        <v>10771.68</v>
      </c>
      <c r="E37" s="1">
        <f t="shared" si="1"/>
        <v>20196.899999999998</v>
      </c>
      <c r="F37" s="1">
        <f t="shared" si="1"/>
        <v>33661.5</v>
      </c>
      <c r="G37" s="1">
        <f t="shared" si="1"/>
        <v>29622.12</v>
      </c>
      <c r="H37" s="1">
        <f t="shared" si="2"/>
        <v>24236.28</v>
      </c>
    </row>
    <row r="38" spans="1:8" x14ac:dyDescent="0.3">
      <c r="A38" s="1" t="s">
        <v>133</v>
      </c>
      <c r="B38" s="1">
        <v>131222</v>
      </c>
      <c r="C38" s="1">
        <f t="shared" si="1"/>
        <v>15746.64</v>
      </c>
      <c r="D38" s="1">
        <f t="shared" si="1"/>
        <v>10497.76</v>
      </c>
      <c r="E38" s="1">
        <f t="shared" si="1"/>
        <v>19683.3</v>
      </c>
      <c r="F38" s="1">
        <f t="shared" si="1"/>
        <v>32805.5</v>
      </c>
      <c r="G38" s="1">
        <f t="shared" si="1"/>
        <v>28868.84</v>
      </c>
      <c r="H38" s="1">
        <f t="shared" si="2"/>
        <v>23619.96</v>
      </c>
    </row>
    <row r="39" spans="1:8" x14ac:dyDescent="0.3">
      <c r="A39" s="1" t="s">
        <v>134</v>
      </c>
      <c r="B39" s="1">
        <v>141003</v>
      </c>
      <c r="C39" s="1">
        <f t="shared" si="1"/>
        <v>16920.36</v>
      </c>
      <c r="D39" s="1">
        <f t="shared" si="1"/>
        <v>11280.24</v>
      </c>
      <c r="E39" s="1">
        <f t="shared" si="1"/>
        <v>21150.45</v>
      </c>
      <c r="F39" s="1">
        <f t="shared" si="1"/>
        <v>35250.75</v>
      </c>
      <c r="G39" s="1">
        <f t="shared" si="1"/>
        <v>31020.66</v>
      </c>
      <c r="H39" s="1">
        <f t="shared" si="2"/>
        <v>25380.54</v>
      </c>
    </row>
    <row r="40" spans="1:8" x14ac:dyDescent="0.3">
      <c r="A40" s="1" t="s">
        <v>135</v>
      </c>
      <c r="B40" s="1">
        <v>157889</v>
      </c>
      <c r="C40" s="1">
        <f t="shared" si="1"/>
        <v>18946.68</v>
      </c>
      <c r="D40" s="1">
        <f t="shared" si="1"/>
        <v>12631.12</v>
      </c>
      <c r="E40" s="1">
        <f t="shared" si="1"/>
        <v>23683.35</v>
      </c>
      <c r="F40" s="1">
        <f t="shared" si="1"/>
        <v>39472.25</v>
      </c>
      <c r="G40" s="1">
        <f t="shared" si="1"/>
        <v>34735.58</v>
      </c>
      <c r="H40" s="1">
        <f t="shared" si="2"/>
        <v>28420.02</v>
      </c>
    </row>
    <row r="41" spans="1:8" x14ac:dyDescent="0.3">
      <c r="A41" s="1" t="s">
        <v>136</v>
      </c>
      <c r="B41" s="1">
        <v>148490</v>
      </c>
      <c r="C41" s="1">
        <f t="shared" si="1"/>
        <v>17818.8</v>
      </c>
      <c r="D41" s="1">
        <f t="shared" si="1"/>
        <v>11879.2</v>
      </c>
      <c r="E41" s="1">
        <f t="shared" si="1"/>
        <v>22273.5</v>
      </c>
      <c r="F41" s="1">
        <f t="shared" si="1"/>
        <v>37122.5</v>
      </c>
      <c r="G41" s="1">
        <f t="shared" si="1"/>
        <v>32667.8</v>
      </c>
      <c r="H41" s="1">
        <f t="shared" si="2"/>
        <v>26728.2</v>
      </c>
    </row>
    <row r="42" spans="1:8" x14ac:dyDescent="0.3">
      <c r="A42" s="1" t="s">
        <v>137</v>
      </c>
      <c r="B42" s="1">
        <v>138410</v>
      </c>
      <c r="C42" s="1">
        <f t="shared" si="1"/>
        <v>16609.2</v>
      </c>
      <c r="D42" s="1">
        <f t="shared" si="1"/>
        <v>11072.800000000001</v>
      </c>
      <c r="E42" s="1">
        <f t="shared" si="1"/>
        <v>20761.5</v>
      </c>
      <c r="F42" s="1">
        <f t="shared" si="1"/>
        <v>34602.5</v>
      </c>
      <c r="G42" s="1">
        <f t="shared" si="1"/>
        <v>30450.2</v>
      </c>
      <c r="H42" s="1">
        <f t="shared" si="2"/>
        <v>24913.8</v>
      </c>
    </row>
    <row r="43" spans="1:8" x14ac:dyDescent="0.3">
      <c r="A43" s="1" t="s">
        <v>138</v>
      </c>
      <c r="B43" s="1">
        <v>140050</v>
      </c>
      <c r="C43" s="1">
        <f t="shared" si="1"/>
        <v>16806</v>
      </c>
      <c r="D43" s="1">
        <f t="shared" si="1"/>
        <v>11204</v>
      </c>
      <c r="E43" s="1">
        <f t="shared" si="1"/>
        <v>21007.5</v>
      </c>
      <c r="F43" s="1">
        <f t="shared" si="1"/>
        <v>35012.5</v>
      </c>
      <c r="G43" s="1">
        <f t="shared" si="1"/>
        <v>30811</v>
      </c>
      <c r="H43" s="1">
        <f t="shared" si="2"/>
        <v>25209</v>
      </c>
    </row>
    <row r="44" spans="1:8" x14ac:dyDescent="0.3">
      <c r="A44" s="1" t="s">
        <v>139</v>
      </c>
      <c r="B44" s="1">
        <v>141354</v>
      </c>
      <c r="C44" s="1">
        <f t="shared" si="1"/>
        <v>16962.48</v>
      </c>
      <c r="D44" s="1">
        <f t="shared" si="1"/>
        <v>11308.32</v>
      </c>
      <c r="E44" s="1">
        <f t="shared" si="1"/>
        <v>21203.1</v>
      </c>
      <c r="F44" s="1">
        <f t="shared" si="1"/>
        <v>35338.5</v>
      </c>
      <c r="G44" s="1">
        <f t="shared" si="1"/>
        <v>31097.88</v>
      </c>
      <c r="H44" s="1">
        <f t="shared" si="2"/>
        <v>25443.719999999998</v>
      </c>
    </row>
    <row r="45" spans="1:8" x14ac:dyDescent="0.3">
      <c r="A45" s="1" t="s">
        <v>140</v>
      </c>
      <c r="B45" s="1">
        <v>143333</v>
      </c>
      <c r="C45" s="1">
        <f t="shared" si="1"/>
        <v>17199.96</v>
      </c>
      <c r="D45" s="1">
        <f t="shared" si="1"/>
        <v>11466.64</v>
      </c>
      <c r="E45" s="1">
        <f t="shared" si="1"/>
        <v>21499.95</v>
      </c>
      <c r="F45" s="1">
        <f t="shared" si="1"/>
        <v>35833.25</v>
      </c>
      <c r="G45" s="1">
        <f t="shared" si="1"/>
        <v>31533.26</v>
      </c>
      <c r="H45" s="1">
        <f t="shared" si="2"/>
        <v>25799.94</v>
      </c>
    </row>
    <row r="46" spans="1:8" x14ac:dyDescent="0.3">
      <c r="A46" s="1" t="s">
        <v>131</v>
      </c>
      <c r="B46" s="1">
        <v>113682</v>
      </c>
      <c r="C46" s="1">
        <f t="shared" si="1"/>
        <v>13641.84</v>
      </c>
      <c r="D46" s="1">
        <f t="shared" si="1"/>
        <v>9094.56</v>
      </c>
      <c r="E46" s="1">
        <f t="shared" si="1"/>
        <v>17052.3</v>
      </c>
      <c r="F46" s="1">
        <f t="shared" si="1"/>
        <v>28420.5</v>
      </c>
      <c r="G46" s="1">
        <f t="shared" si="1"/>
        <v>25010.04</v>
      </c>
      <c r="H46" s="1">
        <f t="shared" si="2"/>
        <v>20462.759999999998</v>
      </c>
    </row>
    <row r="47" spans="1:8" x14ac:dyDescent="0.3">
      <c r="A47" s="1" t="s">
        <v>132</v>
      </c>
      <c r="B47" s="1">
        <v>134037</v>
      </c>
      <c r="C47" s="1">
        <f t="shared" si="1"/>
        <v>16084.439999999999</v>
      </c>
      <c r="D47" s="1">
        <f t="shared" si="1"/>
        <v>10722.960000000001</v>
      </c>
      <c r="E47" s="1">
        <f t="shared" si="1"/>
        <v>20105.55</v>
      </c>
      <c r="F47" s="1">
        <f t="shared" si="1"/>
        <v>33509.25</v>
      </c>
      <c r="G47" s="1">
        <f t="shared" si="1"/>
        <v>29488.14</v>
      </c>
      <c r="H47" s="1">
        <f t="shared" si="2"/>
        <v>24126.66</v>
      </c>
    </row>
    <row r="48" spans="1:8" x14ac:dyDescent="0.3">
      <c r="A48" s="1" t="s">
        <v>133</v>
      </c>
      <c r="B48" s="1">
        <v>174818</v>
      </c>
      <c r="C48" s="1">
        <f t="shared" si="1"/>
        <v>20978.16</v>
      </c>
      <c r="D48" s="1">
        <f t="shared" si="1"/>
        <v>13985.44</v>
      </c>
      <c r="E48" s="1">
        <f t="shared" si="1"/>
        <v>26222.7</v>
      </c>
      <c r="F48" s="1">
        <f t="shared" si="1"/>
        <v>43704.5</v>
      </c>
      <c r="G48" s="1">
        <f t="shared" si="1"/>
        <v>38459.96</v>
      </c>
      <c r="H48" s="1">
        <f t="shared" si="2"/>
        <v>31467.239999999998</v>
      </c>
    </row>
    <row r="49" spans="1:8" x14ac:dyDescent="0.3">
      <c r="A49" s="1" t="s">
        <v>134</v>
      </c>
      <c r="B49" s="1">
        <v>149283</v>
      </c>
      <c r="C49" s="1">
        <f t="shared" si="1"/>
        <v>17913.96</v>
      </c>
      <c r="D49" s="1">
        <f t="shared" si="1"/>
        <v>11942.64</v>
      </c>
      <c r="E49" s="1">
        <f t="shared" si="1"/>
        <v>22392.45</v>
      </c>
      <c r="F49" s="1">
        <f t="shared" si="1"/>
        <v>37320.75</v>
      </c>
      <c r="G49" s="1">
        <f t="shared" si="1"/>
        <v>32842.26</v>
      </c>
      <c r="H49" s="1">
        <f t="shared" si="2"/>
        <v>26870.94</v>
      </c>
    </row>
    <row r="50" spans="1:8" x14ac:dyDescent="0.3">
      <c r="A50" s="1" t="s">
        <v>135</v>
      </c>
      <c r="B50" s="1">
        <v>151359</v>
      </c>
      <c r="C50" s="1">
        <f t="shared" si="1"/>
        <v>18163.079999999998</v>
      </c>
      <c r="D50" s="1">
        <f t="shared" si="1"/>
        <v>12108.72</v>
      </c>
      <c r="E50" s="1">
        <f t="shared" si="1"/>
        <v>22703.85</v>
      </c>
      <c r="F50" s="1">
        <f t="shared" si="1"/>
        <v>37839.75</v>
      </c>
      <c r="G50" s="1">
        <f t="shared" si="1"/>
        <v>33298.980000000003</v>
      </c>
      <c r="H50" s="1">
        <f t="shared" si="2"/>
        <v>27244.62</v>
      </c>
    </row>
    <row r="51" spans="1:8" x14ac:dyDescent="0.3">
      <c r="A51" s="1" t="s">
        <v>136</v>
      </c>
      <c r="B51" s="1">
        <v>190571</v>
      </c>
      <c r="C51" s="1">
        <f t="shared" si="1"/>
        <v>22868.52</v>
      </c>
      <c r="D51" s="1">
        <f t="shared" si="1"/>
        <v>15245.68</v>
      </c>
      <c r="E51" s="1">
        <f t="shared" si="1"/>
        <v>28585.649999999998</v>
      </c>
      <c r="F51" s="1">
        <f t="shared" si="1"/>
        <v>47642.75</v>
      </c>
      <c r="G51" s="1">
        <f t="shared" si="1"/>
        <v>41925.620000000003</v>
      </c>
      <c r="H51" s="1">
        <f t="shared" si="2"/>
        <v>34302.78</v>
      </c>
    </row>
    <row r="52" spans="1:8" x14ac:dyDescent="0.3">
      <c r="A52" s="1" t="s">
        <v>137</v>
      </c>
      <c r="B52" s="1">
        <v>102805</v>
      </c>
      <c r="C52" s="1">
        <f t="shared" si="1"/>
        <v>12336.6</v>
      </c>
      <c r="D52" s="1">
        <f t="shared" si="1"/>
        <v>8224.4</v>
      </c>
      <c r="E52" s="1">
        <f t="shared" si="1"/>
        <v>15420.75</v>
      </c>
      <c r="F52" s="1">
        <f t="shared" si="1"/>
        <v>25701.25</v>
      </c>
      <c r="G52" s="1">
        <f t="shared" si="1"/>
        <v>22617.1</v>
      </c>
      <c r="H52" s="1">
        <f t="shared" si="2"/>
        <v>18504.899999999998</v>
      </c>
    </row>
    <row r="53" spans="1:8" x14ac:dyDescent="0.3">
      <c r="A53" s="1" t="s">
        <v>138</v>
      </c>
      <c r="B53" s="1">
        <v>105418</v>
      </c>
      <c r="C53" s="1">
        <f t="shared" si="1"/>
        <v>12650.16</v>
      </c>
      <c r="D53" s="1">
        <f t="shared" si="1"/>
        <v>8433.44</v>
      </c>
      <c r="E53" s="1">
        <f t="shared" si="1"/>
        <v>15812.699999999999</v>
      </c>
      <c r="F53" s="1">
        <f t="shared" si="1"/>
        <v>26354.5</v>
      </c>
      <c r="G53" s="1">
        <f t="shared" si="1"/>
        <v>23191.96</v>
      </c>
      <c r="H53" s="1">
        <f t="shared" si="2"/>
        <v>18975.239999999998</v>
      </c>
    </row>
    <row r="54" spans="1:8" x14ac:dyDescent="0.3">
      <c r="A54" s="1" t="s">
        <v>139</v>
      </c>
      <c r="B54" s="1">
        <v>199939</v>
      </c>
      <c r="C54" s="1">
        <f t="shared" si="1"/>
        <v>23992.68</v>
      </c>
      <c r="D54" s="1">
        <f t="shared" si="1"/>
        <v>15995.12</v>
      </c>
      <c r="E54" s="1">
        <f t="shared" si="1"/>
        <v>29990.85</v>
      </c>
      <c r="F54" s="1">
        <f t="shared" si="1"/>
        <v>49984.75</v>
      </c>
      <c r="G54" s="1">
        <f t="shared" si="1"/>
        <v>43986.58</v>
      </c>
      <c r="H54" s="1">
        <f t="shared" si="2"/>
        <v>35989.019999999997</v>
      </c>
    </row>
    <row r="55" spans="1:8" x14ac:dyDescent="0.3">
      <c r="A55" s="1" t="s">
        <v>140</v>
      </c>
      <c r="B55" s="1">
        <v>107013</v>
      </c>
      <c r="C55" s="1">
        <f t="shared" si="1"/>
        <v>12841.56</v>
      </c>
      <c r="D55" s="1">
        <f t="shared" si="1"/>
        <v>8561.0400000000009</v>
      </c>
      <c r="E55" s="1">
        <f t="shared" si="1"/>
        <v>16051.949999999999</v>
      </c>
      <c r="F55" s="1">
        <f t="shared" si="1"/>
        <v>26753.25</v>
      </c>
      <c r="G55" s="1">
        <f t="shared" si="1"/>
        <v>23542.86</v>
      </c>
      <c r="H55" s="1">
        <f t="shared" si="2"/>
        <v>19262.34</v>
      </c>
    </row>
    <row r="56" spans="1:8" x14ac:dyDescent="0.3">
      <c r="A56" s="1" t="s">
        <v>131</v>
      </c>
      <c r="B56" s="1">
        <v>118506</v>
      </c>
      <c r="C56" s="1">
        <f t="shared" si="1"/>
        <v>14220.72</v>
      </c>
      <c r="D56" s="1">
        <f t="shared" si="1"/>
        <v>9480.48</v>
      </c>
      <c r="E56" s="1">
        <f t="shared" si="1"/>
        <v>17775.899999999998</v>
      </c>
      <c r="F56" s="1">
        <f t="shared" si="1"/>
        <v>29626.5</v>
      </c>
      <c r="G56" s="1">
        <f t="shared" si="1"/>
        <v>26071.32</v>
      </c>
      <c r="H56" s="1">
        <f t="shared" si="2"/>
        <v>21331.079999999998</v>
      </c>
    </row>
    <row r="57" spans="1:8" x14ac:dyDescent="0.3">
      <c r="A57" s="1" t="s">
        <v>132</v>
      </c>
      <c r="B57" s="1">
        <v>185199</v>
      </c>
      <c r="C57" s="1">
        <f t="shared" si="1"/>
        <v>22223.879999999997</v>
      </c>
      <c r="D57" s="1">
        <f t="shared" si="1"/>
        <v>14815.92</v>
      </c>
      <c r="E57" s="1">
        <f t="shared" si="1"/>
        <v>27779.85</v>
      </c>
      <c r="F57" s="1">
        <f t="shared" si="1"/>
        <v>46299.75</v>
      </c>
      <c r="G57" s="1">
        <f t="shared" si="1"/>
        <v>40743.78</v>
      </c>
      <c r="H57" s="1">
        <f t="shared" si="2"/>
        <v>33335.82</v>
      </c>
    </row>
    <row r="58" spans="1:8" x14ac:dyDescent="0.3">
      <c r="A58" s="1" t="s">
        <v>133</v>
      </c>
      <c r="B58" s="1">
        <v>114961</v>
      </c>
      <c r="C58" s="1">
        <f t="shared" si="1"/>
        <v>13795.32</v>
      </c>
      <c r="D58" s="1">
        <f t="shared" si="1"/>
        <v>9196.880000000001</v>
      </c>
      <c r="E58" s="1">
        <f t="shared" si="1"/>
        <v>17244.149999999998</v>
      </c>
      <c r="F58" s="1">
        <f t="shared" si="1"/>
        <v>28740.25</v>
      </c>
      <c r="G58" s="1">
        <f t="shared" si="1"/>
        <v>25291.420000000002</v>
      </c>
      <c r="H58" s="1">
        <f t="shared" si="2"/>
        <v>20692.98</v>
      </c>
    </row>
    <row r="59" spans="1:8" x14ac:dyDescent="0.3">
      <c r="A59" s="1" t="s">
        <v>134</v>
      </c>
      <c r="B59" s="1">
        <v>131029</v>
      </c>
      <c r="C59" s="1">
        <f t="shared" si="1"/>
        <v>15723.48</v>
      </c>
      <c r="D59" s="1">
        <f t="shared" si="1"/>
        <v>10482.32</v>
      </c>
      <c r="E59" s="1">
        <f t="shared" si="1"/>
        <v>19654.349999999999</v>
      </c>
      <c r="F59" s="1">
        <f t="shared" si="1"/>
        <v>32757.25</v>
      </c>
      <c r="G59" s="1">
        <f t="shared" si="1"/>
        <v>28826.38</v>
      </c>
      <c r="H59" s="1">
        <f t="shared" si="2"/>
        <v>23585.219999999998</v>
      </c>
    </row>
    <row r="60" spans="1:8" x14ac:dyDescent="0.3">
      <c r="A60" s="1" t="s">
        <v>135</v>
      </c>
      <c r="B60" s="1">
        <v>146620</v>
      </c>
      <c r="C60" s="1">
        <f t="shared" si="1"/>
        <v>17594.399999999998</v>
      </c>
      <c r="D60" s="1">
        <f t="shared" si="1"/>
        <v>11729.6</v>
      </c>
      <c r="E60" s="1">
        <f t="shared" si="1"/>
        <v>21993</v>
      </c>
      <c r="F60" s="1">
        <f t="shared" si="1"/>
        <v>36655</v>
      </c>
      <c r="G60" s="1">
        <f t="shared" si="1"/>
        <v>32256.400000000001</v>
      </c>
      <c r="H60" s="1">
        <f t="shared" si="2"/>
        <v>26391.599999999999</v>
      </c>
    </row>
    <row r="61" spans="1:8" x14ac:dyDescent="0.3">
      <c r="A61" s="1" t="s">
        <v>136</v>
      </c>
      <c r="B61" s="1">
        <v>185327</v>
      </c>
      <c r="C61" s="1">
        <f t="shared" si="1"/>
        <v>22239.239999999998</v>
      </c>
      <c r="D61" s="1">
        <f t="shared" si="1"/>
        <v>14826.16</v>
      </c>
      <c r="E61" s="1">
        <f t="shared" si="1"/>
        <v>27799.05</v>
      </c>
      <c r="F61" s="1">
        <f t="shared" si="1"/>
        <v>46331.75</v>
      </c>
      <c r="G61" s="1">
        <f t="shared" si="1"/>
        <v>40771.94</v>
      </c>
      <c r="H61" s="1">
        <f t="shared" si="2"/>
        <v>33358.86</v>
      </c>
    </row>
    <row r="62" spans="1:8" x14ac:dyDescent="0.3">
      <c r="A62" s="1" t="s">
        <v>137</v>
      </c>
      <c r="B62" s="1">
        <v>182312</v>
      </c>
      <c r="C62" s="1">
        <f t="shared" si="1"/>
        <v>21877.439999999999</v>
      </c>
      <c r="D62" s="1">
        <f t="shared" si="1"/>
        <v>14584.960000000001</v>
      </c>
      <c r="E62" s="1">
        <f t="shared" si="1"/>
        <v>27346.799999999999</v>
      </c>
      <c r="F62" s="1">
        <f t="shared" si="1"/>
        <v>45578</v>
      </c>
      <c r="G62" s="1">
        <f t="shared" si="1"/>
        <v>40108.639999999999</v>
      </c>
      <c r="H62" s="1">
        <f t="shared" si="2"/>
        <v>32816.159999999996</v>
      </c>
    </row>
    <row r="63" spans="1:8" x14ac:dyDescent="0.3">
      <c r="A63" s="1" t="s">
        <v>138</v>
      </c>
      <c r="B63" s="1">
        <v>106916</v>
      </c>
      <c r="C63" s="1">
        <f t="shared" si="1"/>
        <v>12829.92</v>
      </c>
      <c r="D63" s="1">
        <f t="shared" si="1"/>
        <v>8553.2800000000007</v>
      </c>
      <c r="E63" s="1">
        <f t="shared" si="1"/>
        <v>16037.4</v>
      </c>
      <c r="F63" s="1">
        <f t="shared" si="1"/>
        <v>26729</v>
      </c>
      <c r="G63" s="1">
        <f t="shared" si="1"/>
        <v>23521.52</v>
      </c>
      <c r="H63" s="1">
        <f t="shared" si="2"/>
        <v>19244.88</v>
      </c>
    </row>
    <row r="64" spans="1:8" x14ac:dyDescent="0.3">
      <c r="A64" s="1" t="s">
        <v>139</v>
      </c>
      <c r="B64" s="1">
        <v>196375</v>
      </c>
      <c r="C64" s="1">
        <f t="shared" si="1"/>
        <v>23565</v>
      </c>
      <c r="D64" s="1">
        <f t="shared" si="1"/>
        <v>15710</v>
      </c>
      <c r="E64" s="1">
        <f t="shared" si="1"/>
        <v>29456.25</v>
      </c>
      <c r="F64" s="1">
        <f t="shared" si="1"/>
        <v>49093.75</v>
      </c>
      <c r="G64" s="1">
        <f t="shared" si="1"/>
        <v>43202.5</v>
      </c>
      <c r="H64" s="1">
        <f t="shared" si="2"/>
        <v>35347.5</v>
      </c>
    </row>
    <row r="65" spans="1:8" x14ac:dyDescent="0.3">
      <c r="A65" s="1" t="s">
        <v>140</v>
      </c>
      <c r="B65" s="1">
        <v>114909</v>
      </c>
      <c r="C65" s="1">
        <f t="shared" si="1"/>
        <v>13789.08</v>
      </c>
      <c r="D65" s="1">
        <f t="shared" si="1"/>
        <v>9192.7199999999993</v>
      </c>
      <c r="E65" s="1">
        <f t="shared" si="1"/>
        <v>17236.349999999999</v>
      </c>
      <c r="F65" s="1">
        <f t="shared" si="1"/>
        <v>28727.25</v>
      </c>
      <c r="G65" s="1">
        <f t="shared" si="1"/>
        <v>25279.98</v>
      </c>
      <c r="H65" s="1">
        <f t="shared" si="2"/>
        <v>20683.62</v>
      </c>
    </row>
    <row r="66" spans="1:8" x14ac:dyDescent="0.3">
      <c r="A66" s="1" t="s">
        <v>131</v>
      </c>
      <c r="B66" s="1">
        <v>176011</v>
      </c>
      <c r="C66" s="1">
        <f t="shared" si="1"/>
        <v>21121.32</v>
      </c>
      <c r="D66" s="1">
        <f t="shared" si="1"/>
        <v>14080.880000000001</v>
      </c>
      <c r="E66" s="1">
        <f t="shared" si="1"/>
        <v>26401.649999999998</v>
      </c>
      <c r="F66" s="1">
        <f t="shared" si="1"/>
        <v>44002.75</v>
      </c>
      <c r="G66" s="1">
        <f t="shared" ref="G66:H99" si="3">$B66*G$4</f>
        <v>38722.42</v>
      </c>
      <c r="H66" s="1">
        <f t="shared" si="2"/>
        <v>31681.98</v>
      </c>
    </row>
    <row r="67" spans="1:8" x14ac:dyDescent="0.3">
      <c r="A67" s="1" t="s">
        <v>132</v>
      </c>
      <c r="B67" s="1">
        <v>106949</v>
      </c>
      <c r="C67" s="1">
        <f t="shared" si="1"/>
        <v>12833.88</v>
      </c>
      <c r="D67" s="1">
        <f t="shared" si="1"/>
        <v>8555.92</v>
      </c>
      <c r="E67" s="1">
        <f t="shared" si="1"/>
        <v>16042.349999999999</v>
      </c>
      <c r="F67" s="1">
        <f t="shared" si="1"/>
        <v>26737.25</v>
      </c>
      <c r="G67" s="1">
        <f t="shared" si="3"/>
        <v>23528.78</v>
      </c>
      <c r="H67" s="1">
        <f t="shared" si="2"/>
        <v>19250.82</v>
      </c>
    </row>
    <row r="68" spans="1:8" x14ac:dyDescent="0.3">
      <c r="A68" s="1" t="s">
        <v>133</v>
      </c>
      <c r="B68" s="1">
        <v>129636</v>
      </c>
      <c r="C68" s="1">
        <f t="shared" si="1"/>
        <v>15556.32</v>
      </c>
      <c r="D68" s="1">
        <f t="shared" si="1"/>
        <v>10370.880000000001</v>
      </c>
      <c r="E68" s="1">
        <f t="shared" si="1"/>
        <v>19445.399999999998</v>
      </c>
      <c r="F68" s="1">
        <f t="shared" si="1"/>
        <v>32409</v>
      </c>
      <c r="G68" s="1">
        <f t="shared" si="3"/>
        <v>28519.920000000002</v>
      </c>
      <c r="H68" s="1">
        <f t="shared" si="2"/>
        <v>23334.48</v>
      </c>
    </row>
    <row r="69" spans="1:8" x14ac:dyDescent="0.3">
      <c r="A69" s="1" t="s">
        <v>134</v>
      </c>
      <c r="B69" s="1">
        <v>195668</v>
      </c>
      <c r="C69" s="1">
        <f t="shared" si="1"/>
        <v>23480.16</v>
      </c>
      <c r="D69" s="1">
        <f t="shared" si="1"/>
        <v>15653.44</v>
      </c>
      <c r="E69" s="1">
        <f t="shared" si="1"/>
        <v>29350.2</v>
      </c>
      <c r="F69" s="1">
        <f t="shared" si="1"/>
        <v>48917</v>
      </c>
      <c r="G69" s="1">
        <f t="shared" si="3"/>
        <v>43046.96</v>
      </c>
      <c r="H69" s="1">
        <f t="shared" si="2"/>
        <v>35220.239999999998</v>
      </c>
    </row>
    <row r="70" spans="1:8" x14ac:dyDescent="0.3">
      <c r="A70" s="1" t="s">
        <v>135</v>
      </c>
      <c r="B70" s="1">
        <v>168664</v>
      </c>
      <c r="C70" s="1">
        <f t="shared" si="1"/>
        <v>20239.68</v>
      </c>
      <c r="D70" s="1">
        <f t="shared" si="1"/>
        <v>13493.12</v>
      </c>
      <c r="E70" s="1">
        <f t="shared" si="1"/>
        <v>25299.599999999999</v>
      </c>
      <c r="F70" s="1">
        <f t="shared" si="1"/>
        <v>42166</v>
      </c>
      <c r="G70" s="1">
        <f t="shared" si="3"/>
        <v>37106.080000000002</v>
      </c>
      <c r="H70" s="1">
        <f t="shared" si="2"/>
        <v>30359.52</v>
      </c>
    </row>
    <row r="71" spans="1:8" x14ac:dyDescent="0.3">
      <c r="A71" s="1" t="s">
        <v>136</v>
      </c>
      <c r="B71" s="1">
        <v>197422</v>
      </c>
      <c r="C71" s="1">
        <f t="shared" ref="C71:F99" si="4">$B71*C$4</f>
        <v>23690.639999999999</v>
      </c>
      <c r="D71" s="1">
        <f t="shared" si="4"/>
        <v>15793.76</v>
      </c>
      <c r="E71" s="1">
        <f t="shared" si="4"/>
        <v>29613.3</v>
      </c>
      <c r="F71" s="1">
        <f t="shared" si="4"/>
        <v>49355.5</v>
      </c>
      <c r="G71" s="1">
        <f t="shared" si="3"/>
        <v>43432.840000000004</v>
      </c>
      <c r="H71" s="1">
        <f t="shared" si="2"/>
        <v>35535.96</v>
      </c>
    </row>
    <row r="72" spans="1:8" x14ac:dyDescent="0.3">
      <c r="A72" s="1" t="s">
        <v>137</v>
      </c>
      <c r="B72" s="1">
        <v>107315</v>
      </c>
      <c r="C72" s="1">
        <f t="shared" si="4"/>
        <v>12877.8</v>
      </c>
      <c r="D72" s="1">
        <f t="shared" si="4"/>
        <v>8585.2000000000007</v>
      </c>
      <c r="E72" s="1">
        <f t="shared" si="4"/>
        <v>16097.25</v>
      </c>
      <c r="F72" s="1">
        <f t="shared" si="4"/>
        <v>26828.75</v>
      </c>
      <c r="G72" s="1">
        <f t="shared" si="3"/>
        <v>23609.3</v>
      </c>
      <c r="H72" s="1">
        <f t="shared" si="2"/>
        <v>19316.7</v>
      </c>
    </row>
    <row r="73" spans="1:8" x14ac:dyDescent="0.3">
      <c r="A73" s="1" t="s">
        <v>138</v>
      </c>
      <c r="B73" s="1">
        <v>157633</v>
      </c>
      <c r="C73" s="1">
        <f t="shared" si="4"/>
        <v>18915.96</v>
      </c>
      <c r="D73" s="1">
        <f t="shared" si="4"/>
        <v>12610.64</v>
      </c>
      <c r="E73" s="1">
        <f t="shared" si="4"/>
        <v>23644.95</v>
      </c>
      <c r="F73" s="1">
        <f t="shared" si="4"/>
        <v>39408.25</v>
      </c>
      <c r="G73" s="1">
        <f t="shared" si="3"/>
        <v>34679.26</v>
      </c>
      <c r="H73" s="1">
        <f t="shared" si="2"/>
        <v>28373.94</v>
      </c>
    </row>
    <row r="74" spans="1:8" x14ac:dyDescent="0.3">
      <c r="A74" s="1" t="s">
        <v>139</v>
      </c>
      <c r="B74" s="1">
        <v>195513</v>
      </c>
      <c r="C74" s="1">
        <f t="shared" si="4"/>
        <v>23461.559999999998</v>
      </c>
      <c r="D74" s="1">
        <f t="shared" si="4"/>
        <v>15641.04</v>
      </c>
      <c r="E74" s="1">
        <f t="shared" si="4"/>
        <v>29326.95</v>
      </c>
      <c r="F74" s="1">
        <f t="shared" si="4"/>
        <v>48878.25</v>
      </c>
      <c r="G74" s="1">
        <f t="shared" si="3"/>
        <v>43012.86</v>
      </c>
      <c r="H74" s="1">
        <f t="shared" si="2"/>
        <v>35192.339999999997</v>
      </c>
    </row>
    <row r="75" spans="1:8" x14ac:dyDescent="0.3">
      <c r="A75" s="1" t="s">
        <v>140</v>
      </c>
      <c r="B75" s="1">
        <v>103593</v>
      </c>
      <c r="C75" s="1">
        <f t="shared" si="4"/>
        <v>12431.16</v>
      </c>
      <c r="D75" s="1">
        <f t="shared" si="4"/>
        <v>8287.44</v>
      </c>
      <c r="E75" s="1">
        <f t="shared" si="4"/>
        <v>15538.949999999999</v>
      </c>
      <c r="F75" s="1">
        <f t="shared" si="4"/>
        <v>25898.25</v>
      </c>
      <c r="G75" s="1">
        <f t="shared" si="3"/>
        <v>22790.46</v>
      </c>
      <c r="H75" s="1">
        <f t="shared" si="2"/>
        <v>18646.739999999998</v>
      </c>
    </row>
    <row r="76" spans="1:8" x14ac:dyDescent="0.3">
      <c r="A76" s="1" t="s">
        <v>131</v>
      </c>
      <c r="B76" s="1">
        <v>176518</v>
      </c>
      <c r="C76" s="1">
        <f t="shared" si="4"/>
        <v>21182.16</v>
      </c>
      <c r="D76" s="1">
        <f t="shared" si="4"/>
        <v>14121.44</v>
      </c>
      <c r="E76" s="1">
        <f t="shared" si="4"/>
        <v>26477.7</v>
      </c>
      <c r="F76" s="1">
        <f t="shared" si="4"/>
        <v>44129.5</v>
      </c>
      <c r="G76" s="1">
        <f t="shared" si="3"/>
        <v>38833.96</v>
      </c>
      <c r="H76" s="1">
        <f t="shared" si="2"/>
        <v>31773.239999999998</v>
      </c>
    </row>
    <row r="77" spans="1:8" x14ac:dyDescent="0.3">
      <c r="A77" s="1" t="s">
        <v>132</v>
      </c>
      <c r="B77" s="1">
        <v>135041</v>
      </c>
      <c r="C77" s="1">
        <f t="shared" si="4"/>
        <v>16204.92</v>
      </c>
      <c r="D77" s="1">
        <f t="shared" si="4"/>
        <v>10803.28</v>
      </c>
      <c r="E77" s="1">
        <f t="shared" si="4"/>
        <v>20256.149999999998</v>
      </c>
      <c r="F77" s="1">
        <f t="shared" si="4"/>
        <v>33760.25</v>
      </c>
      <c r="G77" s="1">
        <f t="shared" si="3"/>
        <v>29709.02</v>
      </c>
      <c r="H77" s="1">
        <f t="shared" si="2"/>
        <v>24307.379999999997</v>
      </c>
    </row>
    <row r="78" spans="1:8" x14ac:dyDescent="0.3">
      <c r="A78" s="1" t="s">
        <v>133</v>
      </c>
      <c r="B78" s="1">
        <v>131005</v>
      </c>
      <c r="C78" s="1">
        <f t="shared" si="4"/>
        <v>15720.599999999999</v>
      </c>
      <c r="D78" s="1">
        <f t="shared" si="4"/>
        <v>10480.4</v>
      </c>
      <c r="E78" s="1">
        <f t="shared" si="4"/>
        <v>19650.75</v>
      </c>
      <c r="F78" s="1">
        <f t="shared" si="4"/>
        <v>32751.25</v>
      </c>
      <c r="G78" s="1">
        <f t="shared" si="3"/>
        <v>28821.1</v>
      </c>
      <c r="H78" s="1">
        <f t="shared" si="2"/>
        <v>23580.899999999998</v>
      </c>
    </row>
    <row r="79" spans="1:8" x14ac:dyDescent="0.3">
      <c r="A79" s="1" t="s">
        <v>134</v>
      </c>
      <c r="B79" s="1">
        <v>145782</v>
      </c>
      <c r="C79" s="1">
        <f t="shared" si="4"/>
        <v>17493.84</v>
      </c>
      <c r="D79" s="1">
        <f t="shared" si="4"/>
        <v>11662.56</v>
      </c>
      <c r="E79" s="1">
        <f t="shared" si="4"/>
        <v>21867.3</v>
      </c>
      <c r="F79" s="1">
        <f t="shared" si="4"/>
        <v>36445.5</v>
      </c>
      <c r="G79" s="1">
        <f t="shared" si="3"/>
        <v>32072.04</v>
      </c>
      <c r="H79" s="1">
        <f t="shared" si="2"/>
        <v>26240.76</v>
      </c>
    </row>
    <row r="80" spans="1:8" x14ac:dyDescent="0.3">
      <c r="A80" s="1" t="s">
        <v>135</v>
      </c>
      <c r="B80" s="1">
        <v>138861</v>
      </c>
      <c r="C80" s="1">
        <f t="shared" si="4"/>
        <v>16663.32</v>
      </c>
      <c r="D80" s="1">
        <f t="shared" si="4"/>
        <v>11108.880000000001</v>
      </c>
      <c r="E80" s="1">
        <f t="shared" si="4"/>
        <v>20829.149999999998</v>
      </c>
      <c r="F80" s="1">
        <f t="shared" si="4"/>
        <v>34715.25</v>
      </c>
      <c r="G80" s="1">
        <f t="shared" si="3"/>
        <v>30549.420000000002</v>
      </c>
      <c r="H80" s="1">
        <f t="shared" si="2"/>
        <v>24994.98</v>
      </c>
    </row>
    <row r="81" spans="1:8" x14ac:dyDescent="0.3">
      <c r="A81" s="1" t="s">
        <v>136</v>
      </c>
      <c r="B81" s="1">
        <v>180015</v>
      </c>
      <c r="C81" s="1">
        <f t="shared" si="4"/>
        <v>21601.8</v>
      </c>
      <c r="D81" s="1">
        <f t="shared" si="4"/>
        <v>14401.2</v>
      </c>
      <c r="E81" s="1">
        <f t="shared" si="4"/>
        <v>27002.25</v>
      </c>
      <c r="F81" s="1">
        <f t="shared" si="4"/>
        <v>45003.75</v>
      </c>
      <c r="G81" s="1">
        <f t="shared" si="3"/>
        <v>39603.300000000003</v>
      </c>
      <c r="H81" s="1">
        <f t="shared" si="2"/>
        <v>32402.699999999997</v>
      </c>
    </row>
    <row r="82" spans="1:8" x14ac:dyDescent="0.3">
      <c r="A82" s="1" t="s">
        <v>137</v>
      </c>
      <c r="B82" s="1">
        <v>112589</v>
      </c>
      <c r="C82" s="1">
        <f t="shared" si="4"/>
        <v>13510.68</v>
      </c>
      <c r="D82" s="1">
        <f t="shared" si="4"/>
        <v>9007.1200000000008</v>
      </c>
      <c r="E82" s="1">
        <f t="shared" si="4"/>
        <v>16888.349999999999</v>
      </c>
      <c r="F82" s="1">
        <f t="shared" si="4"/>
        <v>28147.25</v>
      </c>
      <c r="G82" s="1">
        <f t="shared" si="3"/>
        <v>24769.58</v>
      </c>
      <c r="H82" s="1">
        <f t="shared" si="2"/>
        <v>20266.02</v>
      </c>
    </row>
    <row r="83" spans="1:8" x14ac:dyDescent="0.3">
      <c r="A83" s="1" t="s">
        <v>138</v>
      </c>
      <c r="B83" s="1">
        <v>199809</v>
      </c>
      <c r="C83" s="1">
        <f t="shared" si="4"/>
        <v>23977.079999999998</v>
      </c>
      <c r="D83" s="1">
        <f t="shared" si="4"/>
        <v>15984.720000000001</v>
      </c>
      <c r="E83" s="1">
        <f t="shared" si="4"/>
        <v>29971.35</v>
      </c>
      <c r="F83" s="1">
        <f t="shared" si="4"/>
        <v>49952.25</v>
      </c>
      <c r="G83" s="1">
        <f t="shared" si="3"/>
        <v>43957.98</v>
      </c>
      <c r="H83" s="1">
        <f t="shared" si="2"/>
        <v>35965.619999999995</v>
      </c>
    </row>
    <row r="84" spans="1:8" x14ac:dyDescent="0.3">
      <c r="A84" s="1" t="s">
        <v>139</v>
      </c>
      <c r="B84" s="1">
        <v>182903</v>
      </c>
      <c r="C84" s="1">
        <f t="shared" si="4"/>
        <v>21948.36</v>
      </c>
      <c r="D84" s="1">
        <f t="shared" si="4"/>
        <v>14632.24</v>
      </c>
      <c r="E84" s="1">
        <f t="shared" si="4"/>
        <v>27435.45</v>
      </c>
      <c r="F84" s="1">
        <f t="shared" si="4"/>
        <v>45725.75</v>
      </c>
      <c r="G84" s="1">
        <f t="shared" si="3"/>
        <v>40238.660000000003</v>
      </c>
      <c r="H84" s="1">
        <f t="shared" si="2"/>
        <v>32922.54</v>
      </c>
    </row>
    <row r="85" spans="1:8" x14ac:dyDescent="0.3">
      <c r="A85" s="1" t="s">
        <v>140</v>
      </c>
      <c r="B85" s="1">
        <v>132305</v>
      </c>
      <c r="C85" s="1">
        <f t="shared" si="4"/>
        <v>15876.599999999999</v>
      </c>
      <c r="D85" s="1">
        <f t="shared" si="4"/>
        <v>10584.4</v>
      </c>
      <c r="E85" s="1">
        <f t="shared" si="4"/>
        <v>19845.75</v>
      </c>
      <c r="F85" s="1">
        <f t="shared" si="4"/>
        <v>33076.25</v>
      </c>
      <c r="G85" s="1">
        <f t="shared" si="3"/>
        <v>29107.1</v>
      </c>
      <c r="H85" s="1">
        <f t="shared" si="2"/>
        <v>23814.899999999998</v>
      </c>
    </row>
    <row r="86" spans="1:8" x14ac:dyDescent="0.3">
      <c r="A86" s="1" t="s">
        <v>131</v>
      </c>
      <c r="B86" s="1">
        <v>198607</v>
      </c>
      <c r="C86" s="1">
        <f t="shared" si="4"/>
        <v>23832.84</v>
      </c>
      <c r="D86" s="1">
        <f t="shared" si="4"/>
        <v>15888.56</v>
      </c>
      <c r="E86" s="1">
        <f t="shared" si="4"/>
        <v>29791.05</v>
      </c>
      <c r="F86" s="1">
        <f t="shared" si="4"/>
        <v>49651.75</v>
      </c>
      <c r="G86" s="1">
        <f t="shared" si="3"/>
        <v>43693.54</v>
      </c>
      <c r="H86" s="1">
        <f t="shared" si="3"/>
        <v>35749.26</v>
      </c>
    </row>
    <row r="87" spans="1:8" x14ac:dyDescent="0.3">
      <c r="A87" s="1" t="s">
        <v>132</v>
      </c>
      <c r="B87" s="1">
        <v>105812</v>
      </c>
      <c r="C87" s="1">
        <f t="shared" si="4"/>
        <v>12697.439999999999</v>
      </c>
      <c r="D87" s="1">
        <f t="shared" si="4"/>
        <v>8464.9600000000009</v>
      </c>
      <c r="E87" s="1">
        <f t="shared" si="4"/>
        <v>15871.8</v>
      </c>
      <c r="F87" s="1">
        <f t="shared" si="4"/>
        <v>26453</v>
      </c>
      <c r="G87" s="1">
        <f t="shared" si="3"/>
        <v>23278.639999999999</v>
      </c>
      <c r="H87" s="1">
        <f t="shared" si="3"/>
        <v>19046.16</v>
      </c>
    </row>
    <row r="88" spans="1:8" x14ac:dyDescent="0.3">
      <c r="A88" s="1" t="s">
        <v>133</v>
      </c>
      <c r="B88" s="1">
        <v>112136</v>
      </c>
      <c r="C88" s="1">
        <f t="shared" si="4"/>
        <v>13456.32</v>
      </c>
      <c r="D88" s="1">
        <f t="shared" si="4"/>
        <v>8970.880000000001</v>
      </c>
      <c r="E88" s="1">
        <f t="shared" si="4"/>
        <v>16820.399999999998</v>
      </c>
      <c r="F88" s="1">
        <f t="shared" si="4"/>
        <v>28034</v>
      </c>
      <c r="G88" s="1">
        <f t="shared" si="3"/>
        <v>24669.920000000002</v>
      </c>
      <c r="H88" s="1">
        <f t="shared" si="3"/>
        <v>20184.48</v>
      </c>
    </row>
    <row r="89" spans="1:8" x14ac:dyDescent="0.3">
      <c r="A89" s="1" t="s">
        <v>134</v>
      </c>
      <c r="B89" s="1">
        <v>179230</v>
      </c>
      <c r="C89" s="1">
        <f t="shared" si="4"/>
        <v>21507.599999999999</v>
      </c>
      <c r="D89" s="1">
        <f t="shared" si="4"/>
        <v>14338.4</v>
      </c>
      <c r="E89" s="1">
        <f t="shared" si="4"/>
        <v>26884.5</v>
      </c>
      <c r="F89" s="1">
        <f t="shared" si="4"/>
        <v>44807.5</v>
      </c>
      <c r="G89" s="1">
        <f t="shared" si="3"/>
        <v>39430.6</v>
      </c>
      <c r="H89" s="1">
        <f t="shared" si="3"/>
        <v>32261.399999999998</v>
      </c>
    </row>
    <row r="90" spans="1:8" x14ac:dyDescent="0.3">
      <c r="A90" s="1" t="s">
        <v>135</v>
      </c>
      <c r="B90" s="1">
        <v>163382</v>
      </c>
      <c r="C90" s="1">
        <f t="shared" si="4"/>
        <v>19605.84</v>
      </c>
      <c r="D90" s="1">
        <f t="shared" si="4"/>
        <v>13070.56</v>
      </c>
      <c r="E90" s="1">
        <f t="shared" si="4"/>
        <v>24507.3</v>
      </c>
      <c r="F90" s="1">
        <f t="shared" si="4"/>
        <v>40845.5</v>
      </c>
      <c r="G90" s="1">
        <f t="shared" si="3"/>
        <v>35944.04</v>
      </c>
      <c r="H90" s="1">
        <f t="shared" si="3"/>
        <v>29408.76</v>
      </c>
    </row>
    <row r="91" spans="1:8" x14ac:dyDescent="0.3">
      <c r="A91" s="1" t="s">
        <v>136</v>
      </c>
      <c r="B91" s="1">
        <v>118303</v>
      </c>
      <c r="C91" s="1">
        <f t="shared" si="4"/>
        <v>14196.359999999999</v>
      </c>
      <c r="D91" s="1">
        <f t="shared" si="4"/>
        <v>9464.24</v>
      </c>
      <c r="E91" s="1">
        <f t="shared" si="4"/>
        <v>17745.45</v>
      </c>
      <c r="F91" s="1">
        <f t="shared" si="4"/>
        <v>29575.75</v>
      </c>
      <c r="G91" s="1">
        <f t="shared" si="3"/>
        <v>26026.66</v>
      </c>
      <c r="H91" s="1">
        <f t="shared" si="3"/>
        <v>21294.54</v>
      </c>
    </row>
    <row r="92" spans="1:8" x14ac:dyDescent="0.3">
      <c r="A92" s="1" t="s">
        <v>137</v>
      </c>
      <c r="B92" s="1">
        <v>199881</v>
      </c>
      <c r="C92" s="1">
        <f t="shared" si="4"/>
        <v>23985.719999999998</v>
      </c>
      <c r="D92" s="1">
        <f t="shared" si="4"/>
        <v>15990.48</v>
      </c>
      <c r="E92" s="1">
        <f t="shared" si="4"/>
        <v>29982.149999999998</v>
      </c>
      <c r="F92" s="1">
        <f t="shared" si="4"/>
        <v>49970.25</v>
      </c>
      <c r="G92" s="1">
        <f t="shared" si="3"/>
        <v>43973.82</v>
      </c>
      <c r="H92" s="1">
        <f t="shared" si="3"/>
        <v>35978.58</v>
      </c>
    </row>
    <row r="93" spans="1:8" x14ac:dyDescent="0.3">
      <c r="A93" s="1" t="s">
        <v>138</v>
      </c>
      <c r="B93" s="1">
        <v>106006</v>
      </c>
      <c r="C93" s="1">
        <f t="shared" si="4"/>
        <v>12720.72</v>
      </c>
      <c r="D93" s="1">
        <f t="shared" si="4"/>
        <v>8480.48</v>
      </c>
      <c r="E93" s="1">
        <f t="shared" si="4"/>
        <v>15900.9</v>
      </c>
      <c r="F93" s="1">
        <f t="shared" si="4"/>
        <v>26501.5</v>
      </c>
      <c r="G93" s="1">
        <f t="shared" si="3"/>
        <v>23321.32</v>
      </c>
      <c r="H93" s="1">
        <f t="shared" si="3"/>
        <v>19081.079999999998</v>
      </c>
    </row>
    <row r="94" spans="1:8" x14ac:dyDescent="0.3">
      <c r="A94" s="1" t="s">
        <v>139</v>
      </c>
      <c r="B94" s="1">
        <v>125024</v>
      </c>
      <c r="C94" s="1">
        <f t="shared" si="4"/>
        <v>15002.88</v>
      </c>
      <c r="D94" s="1">
        <f t="shared" si="4"/>
        <v>10001.92</v>
      </c>
      <c r="E94" s="1">
        <f t="shared" si="4"/>
        <v>18753.599999999999</v>
      </c>
      <c r="F94" s="1">
        <f t="shared" si="4"/>
        <v>31256</v>
      </c>
      <c r="G94" s="1">
        <f t="shared" si="3"/>
        <v>27505.279999999999</v>
      </c>
      <c r="H94" s="1">
        <f t="shared" si="3"/>
        <v>22504.32</v>
      </c>
    </row>
    <row r="95" spans="1:8" x14ac:dyDescent="0.3">
      <c r="A95" s="1" t="s">
        <v>140</v>
      </c>
      <c r="B95" s="1">
        <v>177905</v>
      </c>
      <c r="C95" s="1">
        <f t="shared" si="4"/>
        <v>21348.6</v>
      </c>
      <c r="D95" s="1">
        <f t="shared" si="4"/>
        <v>14232.4</v>
      </c>
      <c r="E95" s="1">
        <f t="shared" si="4"/>
        <v>26685.75</v>
      </c>
      <c r="F95" s="1">
        <f t="shared" si="4"/>
        <v>44476.25</v>
      </c>
      <c r="G95" s="1">
        <f t="shared" si="3"/>
        <v>39139.1</v>
      </c>
      <c r="H95" s="1">
        <f t="shared" si="3"/>
        <v>32022.899999999998</v>
      </c>
    </row>
    <row r="96" spans="1:8" x14ac:dyDescent="0.3">
      <c r="A96" s="1" t="s">
        <v>131</v>
      </c>
      <c r="B96" s="1">
        <v>179837</v>
      </c>
      <c r="C96" s="1">
        <f t="shared" si="4"/>
        <v>21580.44</v>
      </c>
      <c r="D96" s="1">
        <f t="shared" si="4"/>
        <v>14386.960000000001</v>
      </c>
      <c r="E96" s="1">
        <f t="shared" si="4"/>
        <v>26975.55</v>
      </c>
      <c r="F96" s="1">
        <f t="shared" si="4"/>
        <v>44959.25</v>
      </c>
      <c r="G96" s="1">
        <f t="shared" si="3"/>
        <v>39564.14</v>
      </c>
      <c r="H96" s="1">
        <f t="shared" si="3"/>
        <v>32370.66</v>
      </c>
    </row>
    <row r="97" spans="1:8" x14ac:dyDescent="0.3">
      <c r="A97" s="1" t="s">
        <v>132</v>
      </c>
      <c r="B97" s="1">
        <v>180766</v>
      </c>
      <c r="C97" s="1">
        <f t="shared" si="4"/>
        <v>21691.919999999998</v>
      </c>
      <c r="D97" s="1">
        <f t="shared" si="4"/>
        <v>14461.28</v>
      </c>
      <c r="E97" s="1">
        <f t="shared" si="4"/>
        <v>27114.899999999998</v>
      </c>
      <c r="F97" s="1">
        <f t="shared" si="4"/>
        <v>45191.5</v>
      </c>
      <c r="G97" s="1">
        <f t="shared" si="3"/>
        <v>39768.519999999997</v>
      </c>
      <c r="H97" s="1">
        <f t="shared" si="3"/>
        <v>32537.879999999997</v>
      </c>
    </row>
    <row r="98" spans="1:8" x14ac:dyDescent="0.3">
      <c r="A98" s="1" t="s">
        <v>133</v>
      </c>
      <c r="B98" s="1">
        <v>116796</v>
      </c>
      <c r="C98" s="1">
        <f t="shared" si="4"/>
        <v>14015.519999999999</v>
      </c>
      <c r="D98" s="1">
        <f t="shared" si="4"/>
        <v>9343.68</v>
      </c>
      <c r="E98" s="1">
        <f t="shared" si="4"/>
        <v>17519.399999999998</v>
      </c>
      <c r="F98" s="1">
        <f t="shared" si="4"/>
        <v>29199</v>
      </c>
      <c r="G98" s="1">
        <f t="shared" si="3"/>
        <v>25695.119999999999</v>
      </c>
      <c r="H98" s="1">
        <f t="shared" si="3"/>
        <v>21023.279999999999</v>
      </c>
    </row>
    <row r="99" spans="1:8" x14ac:dyDescent="0.3">
      <c r="A99" s="1" t="s">
        <v>134</v>
      </c>
      <c r="B99" s="1">
        <v>146233</v>
      </c>
      <c r="C99" s="1">
        <f t="shared" si="4"/>
        <v>17547.96</v>
      </c>
      <c r="D99" s="1">
        <f t="shared" si="4"/>
        <v>11698.64</v>
      </c>
      <c r="E99" s="1">
        <f t="shared" si="4"/>
        <v>21934.95</v>
      </c>
      <c r="F99" s="1">
        <f t="shared" si="4"/>
        <v>36558.25</v>
      </c>
      <c r="G99" s="1">
        <f t="shared" si="3"/>
        <v>32171.26</v>
      </c>
      <c r="H99" s="1">
        <f t="shared" si="3"/>
        <v>26321.94</v>
      </c>
    </row>
  </sheetData>
  <mergeCells count="4">
    <mergeCell ref="A3:H3"/>
    <mergeCell ref="A4:A5"/>
    <mergeCell ref="B4:B5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Relative Cell reference</vt:lpstr>
      <vt:lpstr>Absolute Reference</vt:lpstr>
      <vt:lpstr>Mixed Cell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Lenovo</cp:lastModifiedBy>
  <dcterms:created xsi:type="dcterms:W3CDTF">2019-01-29T14:05:27Z</dcterms:created>
  <dcterms:modified xsi:type="dcterms:W3CDTF">2026-01-27T05:30:52Z</dcterms:modified>
</cp:coreProperties>
</file>