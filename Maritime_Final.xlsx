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 Practice\OGD\Maritime_Employment_Dashboard_v2\"/>
    </mc:Choice>
  </mc:AlternateContent>
  <xr:revisionPtr revIDLastSave="0" documentId="8_{7789B713-3FF2-432F-8D31-638A2CDF67EC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Raw Data" sheetId="1" r:id="rId1"/>
    <sheet name="Analysis" sheetId="2" r:id="rId2"/>
    <sheet name="Pivot Summary" sheetId="3" r:id="rId3"/>
    <sheet name="Dashboard" sheetId="4" r:id="rId4"/>
    <sheet name="Charts" sheetId="5" r:id="rId5"/>
    <sheet name="Insights" sheetId="6" r:id="rId6"/>
    <sheet name="Forecast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" i="4" l="1"/>
  <c r="I5" i="4"/>
  <c r="F14" i="3"/>
  <c r="C13" i="3"/>
  <c r="F10" i="3"/>
  <c r="C9" i="3"/>
  <c r="F6" i="3"/>
  <c r="C5" i="3"/>
  <c r="G14" i="2"/>
  <c r="H14" i="2" s="1"/>
  <c r="F14" i="2"/>
  <c r="E14" i="2"/>
  <c r="D14" i="2"/>
  <c r="C14" i="2"/>
  <c r="B14" i="2"/>
  <c r="C15" i="3" s="1"/>
  <c r="A14" i="2"/>
  <c r="B15" i="3" s="1"/>
  <c r="G13" i="2"/>
  <c r="H13" i="2" s="1"/>
  <c r="F13" i="2"/>
  <c r="E13" i="2"/>
  <c r="D13" i="2"/>
  <c r="C13" i="2"/>
  <c r="B13" i="2"/>
  <c r="C14" i="3" s="1"/>
  <c r="A13" i="2"/>
  <c r="B14" i="3" s="1"/>
  <c r="G12" i="2"/>
  <c r="H12" i="2" s="1"/>
  <c r="F12" i="2"/>
  <c r="E12" i="2"/>
  <c r="D12" i="2"/>
  <c r="C12" i="2"/>
  <c r="B12" i="2"/>
  <c r="A12" i="2"/>
  <c r="B13" i="3" s="1"/>
  <c r="G11" i="2"/>
  <c r="H11" i="2" s="1"/>
  <c r="F11" i="2"/>
  <c r="E11" i="2"/>
  <c r="D11" i="2"/>
  <c r="C11" i="2"/>
  <c r="B11" i="2"/>
  <c r="C12" i="3" s="1"/>
  <c r="A11" i="2"/>
  <c r="B12" i="3" s="1"/>
  <c r="G10" i="2"/>
  <c r="H10" i="2" s="1"/>
  <c r="F10" i="2"/>
  <c r="E10" i="2"/>
  <c r="D10" i="2"/>
  <c r="C10" i="2"/>
  <c r="B10" i="2"/>
  <c r="C11" i="3" s="1"/>
  <c r="A10" i="2"/>
  <c r="B11" i="3" s="1"/>
  <c r="G9" i="2"/>
  <c r="H9" i="2" s="1"/>
  <c r="F9" i="2"/>
  <c r="E9" i="2"/>
  <c r="D9" i="2"/>
  <c r="C9" i="2"/>
  <c r="B9" i="2"/>
  <c r="C10" i="3" s="1"/>
  <c r="A9" i="2"/>
  <c r="B10" i="3" s="1"/>
  <c r="G8" i="2"/>
  <c r="H8" i="2" s="1"/>
  <c r="F8" i="2"/>
  <c r="E8" i="2"/>
  <c r="D8" i="2"/>
  <c r="C8" i="2"/>
  <c r="B8" i="2"/>
  <c r="A8" i="2"/>
  <c r="B9" i="3" s="1"/>
  <c r="G7" i="2"/>
  <c r="H7" i="2" s="1"/>
  <c r="F7" i="2"/>
  <c r="E7" i="2"/>
  <c r="D7" i="2"/>
  <c r="C7" i="2"/>
  <c r="B7" i="2"/>
  <c r="C8" i="3" s="1"/>
  <c r="A7" i="2"/>
  <c r="B8" i="3" s="1"/>
  <c r="G6" i="2"/>
  <c r="H6" i="2" s="1"/>
  <c r="F6" i="2"/>
  <c r="E6" i="2"/>
  <c r="D6" i="2"/>
  <c r="C6" i="2"/>
  <c r="B6" i="2"/>
  <c r="C7" i="3" s="1"/>
  <c r="A6" i="2"/>
  <c r="B7" i="3" s="1"/>
  <c r="G5" i="2"/>
  <c r="H5" i="2" s="1"/>
  <c r="F5" i="2"/>
  <c r="E5" i="2"/>
  <c r="D5" i="2"/>
  <c r="C5" i="2"/>
  <c r="B5" i="2"/>
  <c r="C6" i="3" s="1"/>
  <c r="A5" i="2"/>
  <c r="B6" i="3" s="1"/>
  <c r="G4" i="2"/>
  <c r="H4" i="2" s="1"/>
  <c r="F4" i="2"/>
  <c r="E4" i="2"/>
  <c r="D4" i="2"/>
  <c r="C4" i="2"/>
  <c r="B4" i="2"/>
  <c r="A4" i="2"/>
  <c r="B5" i="3" s="1"/>
  <c r="G3" i="2"/>
  <c r="H3" i="2" s="1"/>
  <c r="F3" i="2"/>
  <c r="E3" i="2"/>
  <c r="D3" i="2"/>
  <c r="C3" i="2"/>
  <c r="B3" i="2"/>
  <c r="C4" i="3" s="1"/>
  <c r="C16" i="3" s="1"/>
  <c r="A3" i="2"/>
  <c r="B4" i="3" s="1"/>
  <c r="Z15" i="1"/>
  <c r="F28" i="3" s="1"/>
  <c r="Y15" i="1"/>
  <c r="F27" i="3" s="1"/>
  <c r="X15" i="1"/>
  <c r="F26" i="3" s="1"/>
  <c r="W15" i="1"/>
  <c r="F25" i="3" s="1"/>
  <c r="V15" i="1"/>
  <c r="F24" i="3" s="1"/>
  <c r="U15" i="1"/>
  <c r="F23" i="3" s="1"/>
  <c r="T15" i="1"/>
  <c r="F22" i="3" s="1"/>
  <c r="S15" i="1"/>
  <c r="F21" i="3" s="1"/>
  <c r="R15" i="1"/>
  <c r="F20" i="3" s="1"/>
  <c r="Q15" i="1"/>
  <c r="F19" i="3" s="1"/>
  <c r="P15" i="1"/>
  <c r="F18" i="3" s="1"/>
  <c r="O15" i="1"/>
  <c r="F17" i="3" s="1"/>
  <c r="N15" i="1"/>
  <c r="F16" i="3" s="1"/>
  <c r="M15" i="1"/>
  <c r="F15" i="3" s="1"/>
  <c r="L15" i="1"/>
  <c r="K15" i="1"/>
  <c r="F13" i="3" s="1"/>
  <c r="J15" i="1"/>
  <c r="F12" i="3" s="1"/>
  <c r="I15" i="1"/>
  <c r="F11" i="3" s="1"/>
  <c r="H15" i="1"/>
  <c r="G15" i="1"/>
  <c r="F9" i="3" s="1"/>
  <c r="F15" i="1"/>
  <c r="F8" i="3" s="1"/>
  <c r="E15" i="1"/>
  <c r="F7" i="3" s="1"/>
  <c r="D15" i="1"/>
  <c r="C15" i="1"/>
  <c r="F5" i="3" s="1"/>
  <c r="B15" i="1"/>
  <c r="E5" i="4" s="1"/>
  <c r="F4" i="3" l="1"/>
  <c r="A5" i="4"/>
</calcChain>
</file>

<file path=xl/sharedStrings.xml><?xml version="1.0" encoding="utf-8"?>
<sst xmlns="http://schemas.openxmlformats.org/spreadsheetml/2006/main" count="202" uniqueCount="145">
  <si>
    <t>Maritime Employment — Non-Major Ports (State-wise) | 2001–2025</t>
  </si>
  <si>
    <t>State / Maritime Board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</si>
  <si>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</si>
  <si>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</si>
  <si>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</si>
  <si>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</si>
  <si>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</si>
  <si>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</si>
  <si>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</si>
  <si>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</si>
  <si>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</si>
  <si>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</si>
  <si>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</si>
  <si>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</si>
  <si>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</si>
  <si>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</si>
  <si>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</si>
  <si>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</si>
  <si>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</si>
  <si>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</si>
  <si>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</si>
  <si>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</si>
  <si>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</si>
  <si>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</si>
  <si>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</si>
  <si>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</si>
  <si>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</si>
  <si>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GUJARAT</t>
  </si>
  <si>
    <t>MAHARASHTRA</t>
  </si>
  <si>
    <t>GOA</t>
  </si>
  <si>
    <t>DAMAN &amp; DIU</t>
  </si>
  <si>
    <t>KARNATAKA</t>
  </si>
  <si>
    <t>KERALA</t>
  </si>
  <si>
    <t>TAMIL NADU</t>
  </si>
  <si>
    <t>PUDUCHERRY</t>
  </si>
  <si>
    <t>ANDHRA PRADESH</t>
  </si>
  <si>
    <t>ANDAMAN &amp; NICOBAR Island</t>
  </si>
  <si>
    <t>Orissa</t>
  </si>
  <si>
    <t>LAKSHADWEEP</t>
  </si>
  <si>
    <t>TOTAL</t>
  </si>
  <si>
    <t>State-wise Employment Analysis</t>
  </si>
  <si>
    <t>State</t>
  </si>
  <si>
    <t>Total (All Years)</t>
  </si>
  <si>
    <t>Average</t>
  </si>
  <si>
    <t>Max Year Value</t>
  </si>
  <si>
    <t>Min Year Value</t>
  </si>
  <si>
    <t>% Change (2001→2025)</t>
  </si>
  <si>
    <t>Pivot Summary — Employment by State &amp; Year</t>
  </si>
  <si>
    <t>Table 1: Total Employment by State (All Years)</t>
  </si>
  <si>
    <t>Table 2: Year-wise National Total</t>
  </si>
  <si>
    <t>Rank</t>
  </si>
  <si>
    <t>Total Employment</t>
  </si>
  <si>
    <t>Year</t>
  </si>
  <si>
    <t>GRAND TOTAL</t>
  </si>
  <si>
    <t>🚢  MARITIME EMPLOYMENT DASHBOARD  |  Non-Major Ports  |  2001 – 2025</t>
  </si>
  <si>
    <t>Total Employment 2025</t>
  </si>
  <si>
    <t>Total Employment 2001</t>
  </si>
  <si>
    <t>Top State in 2025</t>
  </si>
  <si>
    <t>States / Boards Tracked</t>
  </si>
  <si>
    <t>Source: Ministry of Ports, Shipping &amp; Waterways, Government of India  |  Data covers Non-Major Ports only</t>
  </si>
  <si>
    <t>📊  CHARTS SHEET  —  Maritime Employment, Non-Major Ports India (2001–2025)</t>
  </si>
  <si>
    <t xml:space="preserve">  Chart 1 — State-wise Employment (2025)</t>
  </si>
  <si>
    <t xml:space="preserve">  Chart 2 — National Employment Trend (2001–2025)</t>
  </si>
  <si>
    <t xml:space="preserve">  Which states employ the most people at non-major ports today?</t>
  </si>
  <si>
    <t xml:space="preserve">  How has total employment across all states changed over 25 years?</t>
  </si>
  <si>
    <t xml:space="preserve">  Chart 3 — State Share of Total Employment (2025)</t>
  </si>
  <si>
    <t xml:space="preserve">  Chart 4 — Top 3 States: Employment Trend (2001–2025)</t>
  </si>
  <si>
    <t xml:space="preserve">  Which states dominate employment? Concentration at a glance.</t>
  </si>
  <si>
    <t xml:space="preserve">  Andhra Pradesh's rise, Odisha's emergence, Gujarat's decline — side by side.</t>
  </si>
  <si>
    <t>Source: Ministry of Ports, Shipping &amp; Waterways, GoI  |  All charts based on Non-Major Ports employment data  |  Built with Microsoft Excel</t>
  </si>
  <si>
    <t>ANDAMAN &amp; NIC.</t>
  </si>
  <si>
    <t>ODISHA</t>
  </si>
  <si>
    <t>Others</t>
  </si>
  <si>
    <t>Andhra Pradesh</t>
  </si>
  <si>
    <t>Odisha</t>
  </si>
  <si>
    <t>Gujarat</t>
  </si>
  <si>
    <t>Key Insights &amp; Commentary — Maritime Employment, Non-Major Ports (2001–2025)</t>
  </si>
  <si>
    <t>#</t>
  </si>
  <si>
    <t>State / Area</t>
  </si>
  <si>
    <t>Key Finding</t>
  </si>
  <si>
    <t>Metric 1 Label</t>
  </si>
  <si>
    <t>Metric 1 Value</t>
  </si>
  <si>
    <t>Metric 2</t>
  </si>
  <si>
    <t xml:space="preserve">  📈  GROWTH STORIES — States That Surged</t>
  </si>
  <si>
    <t>01</t>
  </si>
  <si>
    <t>Most dramatic growth story in this dataset. Employment was a tiny 107 in 2001, exploded to a peak of 7,609 in 2023 — a nearly 50x increase — driven by rapid port infrastructure expansion in the state.</t>
  </si>
  <si>
    <t>2001 → 2025</t>
  </si>
  <si>
    <t>107 → 5,439</t>
  </si>
  <si>
    <t>7,609</t>
  </si>
  <si>
    <t>02</t>
  </si>
  <si>
    <t>ODISHA (Orissa)</t>
  </si>
  <si>
    <t>Had zero reported employment in 2001–2007, then grew steadily. By 2023–2025 it became the 2nd largest employer with 4,347–4,883 jobs — a rise from nothing to a major maritime hub in under 20 years.</t>
  </si>
  <si>
    <t>2008 (first)</t>
  </si>
  <si>
    <t>118 jobs</t>
  </si>
  <si>
    <t>4,883</t>
  </si>
  <si>
    <t>03</t>
  </si>
  <si>
    <t>Employment was stable at ~75–92 through early 2000s, then jumped sharply to 485 in 2013–2014 before settling. Suggests a major new port activity or registration in that period.</t>
  </si>
  <si>
    <t>92 jobs</t>
  </si>
  <si>
    <t>485</t>
  </si>
  <si>
    <t xml:space="preserve">  📉  DECLINE STORIES — States That Contracted</t>
  </si>
  <si>
    <t>04</t>
  </si>
  <si>
    <t>The biggest decline in absolute terms. Was the top employer in 2001 with 2,441 jobs but fell consistently to just 523 in 2025 — a 79% drop. Likely reflects shift of cargo activity to JNPT (major port) or changing fleet registration patterns.</t>
  </si>
  <si>
    <t>2,441 jobs</t>
  </si>
  <si>
    <t>−78.6%</t>
  </si>
  <si>
    <t>05</t>
  </si>
  <si>
    <t>Employment has been near-extinct since the mid-2010s, from 22 in 2001 down to just 3 in 2025. Small union territory with very limited maritime activity today.</t>
  </si>
  <si>
    <t>22 jobs</t>
  </si>
  <si>
    <t>3 jobs</t>
  </si>
  <si>
    <t>06</t>
  </si>
  <si>
    <t>Steady decline from 110 in 2001 to only 22 in 2025. Despite being a large coastal state, non-major port employment has shrunk significantly — major ports like Chennai dominate.</t>
  </si>
  <si>
    <t>110 jobs</t>
  </si>
  <si>
    <t xml:space="preserve">  🔄  NATIONAL TRENDS — Big Picture</t>
  </si>
  <si>
    <t>07</t>
  </si>
  <si>
    <t>Overall Growth</t>
  </si>
  <si>
    <t>National total grew from 4,010 in 2001 to a peak of 14,219 in 2023 — a 255% increase. However, most of this growth is concentrated in just 2 states: Andhra Pradesh and Odisha.</t>
  </si>
  <si>
    <t>2001 Total</t>
  </si>
  <si>
    <t>4,010</t>
  </si>
  <si>
    <t>14,219</t>
  </si>
  <si>
    <t>08</t>
  </si>
  <si>
    <t>Post-2023 Dip</t>
  </si>
  <si>
    <t>After peaking at 14,219 in 2023, total employment fell to 11,900 in 2025 — a 16% drop in just 2 years. This aligns with Andhra Pradesh's own decline from 7,609 (2023) to 5,439 (2025).</t>
  </si>
  <si>
    <t>2023 Peak</t>
  </si>
  <si>
    <t>11,900</t>
  </si>
  <si>
    <t>09</t>
  </si>
  <si>
    <t>Concentration Risk</t>
  </si>
  <si>
    <t>Andhra Pradesh alone accounts for ~46% of total 2025 employment. This over-reliance on a single state means national totals are highly sensitive to AP's policy and port activity changes.</t>
  </si>
  <si>
    <t>AP share 2025</t>
  </si>
  <si>
    <t>~46%</t>
  </si>
  <si>
    <t>Only 3</t>
  </si>
  <si>
    <t>10</t>
  </si>
  <si>
    <t>Stable Mid-tier</t>
  </si>
  <si>
    <t>GOA and Kerala have maintained relatively stable employment (~130–200 range) through the entire 25-year period, suggesting consistent small-scale port activity independent of the boom-bust cycles elsewhere.</t>
  </si>
  <si>
    <t>Goa 2001</t>
  </si>
  <si>
    <t>166</t>
  </si>
  <si>
    <t>152</t>
  </si>
  <si>
    <t>Source: Ministry of Ports, Shipping &amp; Waterways, Government of India  |  Analysis covers Non-Major Ports only  |  All figures represent direct employment</t>
  </si>
  <si>
    <t>Employment Trend Forecast — Non-Major Ports (2026–2030)</t>
  </si>
  <si>
    <t>2026
(Forecast)</t>
  </si>
  <si>
    <t>2027
(Forecast)</t>
  </si>
  <si>
    <t>2028
(Forecast)</t>
  </si>
  <si>
    <t>2029
(Forecast)</t>
  </si>
  <si>
    <t>2030
(Forecast)</t>
  </si>
  <si>
    <t>⚠  Methodology: Forecasts use Linear Regression (FORECAST.LINEAR equivalent) based on 2016–2025 actuals. Forecast values are directional estimates only — actual figures depend on policy, infrastructure investment, and port activity.</t>
  </si>
  <si>
    <t>Historical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</si>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</sst>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4"/>
      <color rgb="FF2E75B6"/>
      <name val="Arial"/>
      <family val="2"/>
      <charset val="1"/>
    </font>
    <font>
      <b/>
      <sz val="14"/>
      <color rgb="FF70AD47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1F3864"/>
      <name val="Arial"/>
      <family val="2"/>
    </font>
    <font>
      <i/>
      <sz val="8"/>
      <color rgb="FF595959"/>
      <name val="Arial"/>
      <family val="2"/>
    </font>
    <font>
      <b/>
      <sz val="12"/>
      <color rgb="FF2E75B6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9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595959"/>
      <name val="Arial"/>
      <family val="2"/>
    </font>
    <font>
      <sz val="10"/>
      <color rgb="FF7F4F00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0F4F8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BDD7EE"/>
        <bgColor rgb="FFD9D9D9"/>
      </patternFill>
    </fill>
    <fill>
      <patternFill patternType="solid">
        <fgColor rgb="FFF0F4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E4F0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70AD47"/>
      </left>
      <right/>
      <top style="thin">
        <color rgb="FF70AD47"/>
      </top>
      <bottom style="thin">
        <color rgb="FF70AD4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3" fillId="5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7" borderId="0" xfId="0" applyFill="1" applyAlignment="1"/>
    <xf numFmtId="0" fontId="0" fillId="7" borderId="0" xfId="0" applyFill="1"/>
    <xf numFmtId="0" fontId="13" fillId="2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18" fillId="4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3" fontId="23" fillId="5" borderId="1" xfId="0" applyNumberFormat="1" applyFont="1" applyFill="1" applyBorder="1" applyAlignment="1">
      <alignment horizontal="center"/>
    </xf>
    <xf numFmtId="3" fontId="17" fillId="10" borderId="1" xfId="0" applyNumberFormat="1" applyFont="1" applyFill="1" applyBorder="1" applyAlignment="1">
      <alignment horizontal="center"/>
    </xf>
    <xf numFmtId="0" fontId="13" fillId="2" borderId="0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left" vertical="center"/>
    </xf>
    <xf numFmtId="0" fontId="13" fillId="8" borderId="0" xfId="0" applyFont="1" applyFill="1" applyBorder="1" applyAlignment="1">
      <alignment horizontal="left" vertical="center"/>
    </xf>
    <xf numFmtId="0" fontId="13" fillId="10" borderId="0" xfId="0" applyFont="1" applyFill="1" applyBorder="1" applyAlignment="1">
      <alignment horizontal="left" vertical="center"/>
    </xf>
    <xf numFmtId="0" fontId="15" fillId="7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24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F0F4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9F9F9"/>
      <rgbColor rgb="FF99CCFF"/>
      <rgbColor rgb="FFFF99CC"/>
      <rgbColor rgb="FFCC99FF"/>
      <rgbColor rgb="FFD9D9D9"/>
      <rgbColor rgb="FF2E75B6"/>
      <rgbColor rgb="FF33CCCC"/>
      <rgbColor rgb="FF70AD47"/>
      <rgbColor rgb="FFFFC000"/>
      <rgbColor rgb="FFFF9900"/>
      <rgbColor rgb="FFED7D31"/>
      <rgbColor rgb="FF595959"/>
      <rgbColor rgb="FFB3B3B3"/>
      <rgbColor rgb="FF1F3864"/>
      <rgbColor rgb="FF4F81BD"/>
      <rgbColor rgb="FF003300"/>
      <rgbColor rgb="FF333300"/>
      <rgbColor rgb="FF7F4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Employment by State (All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Summary'!$C$3</c:f>
              <c:strCache>
                <c:ptCount val="1"/>
                <c:pt idx="0">
                  <c:v>Total Employment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Summary'!$B$4:$B$15</c:f>
              <c:strCache>
                <c:ptCount val="12"/>
                <c:pt idx="0">
                  <c:v>GUJARAT</c:v>
                </c:pt>
                <c:pt idx="1">
                  <c:v>MAHARASHTRA</c:v>
                </c:pt>
                <c:pt idx="2">
                  <c:v>GOA</c:v>
                </c:pt>
                <c:pt idx="3">
                  <c:v>DAMAN &amp; DIU</c:v>
                </c:pt>
                <c:pt idx="4">
                  <c:v>KARNATAKA</c:v>
                </c:pt>
                <c:pt idx="5">
                  <c:v>KERALA</c:v>
                </c:pt>
                <c:pt idx="6">
                  <c:v>TAMIL NADU</c:v>
                </c:pt>
                <c:pt idx="7">
                  <c:v>PUDUCHERRY</c:v>
                </c:pt>
                <c:pt idx="8">
                  <c:v>ANDHRA PRADESH</c:v>
                </c:pt>
                <c:pt idx="9">
                  <c:v>ANDAMAN &amp; NICOBAR Island</c:v>
                </c:pt>
                <c:pt idx="10">
                  <c:v>Orissa</c:v>
                </c:pt>
                <c:pt idx="11">
                  <c:v>LAKSHADWEEP</c:v>
                </c:pt>
              </c:strCache>
            </c:strRef>
          </c:cat>
          <c:val>
            <c:numRef>
              <c:f>'Pivot Summary'!$C$4:$C$15</c:f>
              <c:numCache>
                <c:formatCode>#,##0</c:formatCode>
                <c:ptCount val="12"/>
                <c:pt idx="0">
                  <c:v>36638</c:v>
                </c:pt>
                <c:pt idx="1">
                  <c:v>3395</c:v>
                </c:pt>
                <c:pt idx="2">
                  <c:v>3639</c:v>
                </c:pt>
                <c:pt idx="3">
                  <c:v>350</c:v>
                </c:pt>
                <c:pt idx="4">
                  <c:v>1999</c:v>
                </c:pt>
                <c:pt idx="5">
                  <c:v>6640</c:v>
                </c:pt>
                <c:pt idx="6">
                  <c:v>1348</c:v>
                </c:pt>
                <c:pt idx="7">
                  <c:v>4273</c:v>
                </c:pt>
                <c:pt idx="8">
                  <c:v>50644</c:v>
                </c:pt>
                <c:pt idx="9">
                  <c:v>11673</c:v>
                </c:pt>
                <c:pt idx="10">
                  <c:v>18824</c:v>
                </c:pt>
                <c:pt idx="11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4-4C64-AEFE-A7F35B834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44698"/>
        <c:axId val="13547125"/>
      </c:barChart>
      <c:catAx>
        <c:axId val="5034469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47125"/>
        <c:crosses val="autoZero"/>
        <c:auto val="1"/>
        <c:lblAlgn val="ctr"/>
        <c:lblOffset val="100"/>
        <c:noMultiLvlLbl val="0"/>
      </c:catAx>
      <c:valAx>
        <c:axId val="135471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44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National Employment Trend (2001–2025)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Summary'!$F$3</c:f>
              <c:strCache>
                <c:ptCount val="1"/>
                <c:pt idx="0">
                  <c:v>Total Employment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'Pivot Summary'!$E$4:$E$28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'Pivot Summary'!$F$4:$F$28</c:f>
              <c:numCache>
                <c:formatCode>#,##0</c:formatCode>
                <c:ptCount val="25"/>
                <c:pt idx="0">
                  <c:v>4010</c:v>
                </c:pt>
                <c:pt idx="1">
                  <c:v>4010</c:v>
                </c:pt>
                <c:pt idx="2">
                  <c:v>4213</c:v>
                </c:pt>
                <c:pt idx="3">
                  <c:v>3391</c:v>
                </c:pt>
                <c:pt idx="4">
                  <c:v>3055</c:v>
                </c:pt>
                <c:pt idx="5">
                  <c:v>2457</c:v>
                </c:pt>
                <c:pt idx="6">
                  <c:v>2954</c:v>
                </c:pt>
                <c:pt idx="7">
                  <c:v>3019</c:v>
                </c:pt>
                <c:pt idx="8">
                  <c:v>3223</c:v>
                </c:pt>
                <c:pt idx="9">
                  <c:v>3116</c:v>
                </c:pt>
                <c:pt idx="10">
                  <c:v>2520</c:v>
                </c:pt>
                <c:pt idx="11">
                  <c:v>4156</c:v>
                </c:pt>
                <c:pt idx="12">
                  <c:v>5097</c:v>
                </c:pt>
                <c:pt idx="13">
                  <c:v>6027</c:v>
                </c:pt>
                <c:pt idx="14">
                  <c:v>4673</c:v>
                </c:pt>
                <c:pt idx="15">
                  <c:v>4468</c:v>
                </c:pt>
                <c:pt idx="16">
                  <c:v>5284</c:v>
                </c:pt>
                <c:pt idx="17">
                  <c:v>5124</c:v>
                </c:pt>
                <c:pt idx="18">
                  <c:v>5108</c:v>
                </c:pt>
                <c:pt idx="19">
                  <c:v>5232</c:v>
                </c:pt>
                <c:pt idx="20">
                  <c:v>9945</c:v>
                </c:pt>
                <c:pt idx="21">
                  <c:v>9598</c:v>
                </c:pt>
                <c:pt idx="22">
                  <c:v>14219</c:v>
                </c:pt>
                <c:pt idx="23">
                  <c:v>13381</c:v>
                </c:pt>
                <c:pt idx="24">
                  <c:v>11900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7-4BAC-BC56-31A9CC87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828312"/>
        <c:axId val="4340858"/>
      </c:lineChart>
      <c:catAx>
        <c:axId val="98828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0858"/>
        <c:crosses val="autoZero"/>
        <c:auto val="1"/>
        <c:lblAlgn val="ctr"/>
        <c:lblOffset val="100"/>
        <c:noMultiLvlLbl val="0"/>
      </c:catAx>
      <c:valAx>
        <c:axId val="4340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28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Employment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Charts!$B$79</c:f>
              <c:strCache>
                <c:ptCount val="1"/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Charts!$A$80:$A$91</c:f>
              <c:strCache>
                <c:ptCount val="12"/>
                <c:pt idx="0">
                  <c:v>GUJARAT</c:v>
                </c:pt>
                <c:pt idx="1">
                  <c:v>MAHARASHTRA</c:v>
                </c:pt>
                <c:pt idx="2">
                  <c:v>GOA</c:v>
                </c:pt>
                <c:pt idx="3">
                  <c:v>DAMAN &amp; DIU</c:v>
                </c:pt>
                <c:pt idx="4">
                  <c:v>KARNATAKA</c:v>
                </c:pt>
                <c:pt idx="5">
                  <c:v>KERALA</c:v>
                </c:pt>
                <c:pt idx="6">
                  <c:v>TAMIL NADU</c:v>
                </c:pt>
                <c:pt idx="7">
                  <c:v>PUDUCHERRY</c:v>
                </c:pt>
                <c:pt idx="8">
                  <c:v>ANDHRA PRADESH</c:v>
                </c:pt>
                <c:pt idx="9">
                  <c:v>ANDAMAN &amp; NIC.</c:v>
                </c:pt>
                <c:pt idx="10">
                  <c:v>ODISHA</c:v>
                </c:pt>
                <c:pt idx="11">
                  <c:v>LAKSHADWEEP</c:v>
                </c:pt>
              </c:strCache>
            </c:strRef>
          </c:cat>
          <c:val>
            <c:numRef>
              <c:f>Charts!$B$80:$B$91</c:f>
              <c:numCache>
                <c:formatCode>General</c:formatCode>
                <c:ptCount val="12"/>
                <c:pt idx="0">
                  <c:v>523</c:v>
                </c:pt>
                <c:pt idx="1">
                  <c:v>100</c:v>
                </c:pt>
                <c:pt idx="2">
                  <c:v>152</c:v>
                </c:pt>
                <c:pt idx="3">
                  <c:v>3</c:v>
                </c:pt>
                <c:pt idx="4">
                  <c:v>45</c:v>
                </c:pt>
                <c:pt idx="5">
                  <c:v>238</c:v>
                </c:pt>
                <c:pt idx="6">
                  <c:v>22</c:v>
                </c:pt>
                <c:pt idx="7">
                  <c:v>87</c:v>
                </c:pt>
                <c:pt idx="8">
                  <c:v>5439</c:v>
                </c:pt>
                <c:pt idx="9">
                  <c:v>235</c:v>
                </c:pt>
                <c:pt idx="10">
                  <c:v>4883</c:v>
                </c:pt>
                <c:pt idx="11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C-4221-B3F7-65E35A9B5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120016"/>
        <c:axId val="81185482"/>
      </c:barChart>
      <c:catAx>
        <c:axId val="9112001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85482"/>
        <c:crosses val="autoZero"/>
        <c:auto val="1"/>
        <c:lblAlgn val="ctr"/>
        <c:lblOffset val="100"/>
        <c:noMultiLvlLbl val="0"/>
      </c:catAx>
      <c:valAx>
        <c:axId val="8118548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20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National Employment Trend (2001–2025)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Charts!$E$79</c:f>
              <c:strCache>
                <c:ptCount val="1"/>
              </c:strCache>
            </c:strRef>
          </c:tx>
          <c:spPr>
            <a:ln w="248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Charts!$D$80:$D$104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Charts!$E$80:$E$104</c:f>
              <c:numCache>
                <c:formatCode>General</c:formatCode>
                <c:ptCount val="25"/>
                <c:pt idx="0">
                  <c:v>4010</c:v>
                </c:pt>
                <c:pt idx="1">
                  <c:v>4010</c:v>
                </c:pt>
                <c:pt idx="2">
                  <c:v>4213</c:v>
                </c:pt>
                <c:pt idx="3">
                  <c:v>3391</c:v>
                </c:pt>
                <c:pt idx="4">
                  <c:v>3055</c:v>
                </c:pt>
                <c:pt idx="5">
                  <c:v>2457</c:v>
                </c:pt>
                <c:pt idx="6">
                  <c:v>2954</c:v>
                </c:pt>
                <c:pt idx="7">
                  <c:v>3019</c:v>
                </c:pt>
                <c:pt idx="8">
                  <c:v>3223</c:v>
                </c:pt>
                <c:pt idx="9">
                  <c:v>3116</c:v>
                </c:pt>
                <c:pt idx="10">
                  <c:v>2520</c:v>
                </c:pt>
                <c:pt idx="11">
                  <c:v>4156</c:v>
                </c:pt>
                <c:pt idx="12">
                  <c:v>5097</c:v>
                </c:pt>
                <c:pt idx="13">
                  <c:v>6027</c:v>
                </c:pt>
                <c:pt idx="14">
                  <c:v>4673</c:v>
                </c:pt>
                <c:pt idx="15">
                  <c:v>4468</c:v>
                </c:pt>
                <c:pt idx="16">
                  <c:v>5284</c:v>
                </c:pt>
                <c:pt idx="17">
                  <c:v>5124</c:v>
                </c:pt>
                <c:pt idx="18">
                  <c:v>5108</c:v>
                </c:pt>
                <c:pt idx="19">
                  <c:v>5232</c:v>
                </c:pt>
                <c:pt idx="20">
                  <c:v>9945</c:v>
                </c:pt>
                <c:pt idx="21">
                  <c:v>9598</c:v>
                </c:pt>
                <c:pt idx="22">
                  <c:v>14219</c:v>
                </c:pt>
                <c:pt idx="23">
                  <c:v>13381</c:v>
                </c:pt>
                <c:pt idx="24">
                  <c:v>11900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60-4E63-ABC2-34A362017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619948"/>
        <c:axId val="85600676"/>
      </c:lineChart>
      <c:catAx>
        <c:axId val="82619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00676"/>
        <c:crosses val="autoZero"/>
        <c:auto val="1"/>
        <c:lblAlgn val="ctr"/>
        <c:lblOffset val="100"/>
        <c:noMultiLvlLbl val="0"/>
      </c:catAx>
      <c:valAx>
        <c:axId val="85600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Employment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619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 Share of Employment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Charts!$B$107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86B-41B1-A445-2328174E44B5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86B-41B1-A445-2328174E44B5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86B-41B1-A445-2328174E44B5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86B-41B1-A445-2328174E44B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86B-41B1-A445-2328174E44B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786B-41B1-A445-2328174E44B5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786B-41B1-A445-2328174E44B5}"/>
              </c:ext>
            </c:extLst>
          </c:dPt>
          <c:dPt>
            <c:idx val="7"/>
            <c:bubble3D val="0"/>
            <c:spPr>
              <a:solidFill>
                <a:srgbClr val="F2F2F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786B-41B1-A445-2328174E44B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86B-41B1-A445-2328174E44B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86B-41B1-A445-2328174E44B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86B-41B1-A445-2328174E44B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86B-41B1-A445-2328174E44B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786B-41B1-A445-2328174E44B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786B-41B1-A445-2328174E44B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786B-41B1-A445-2328174E44B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786B-41B1-A445-2328174E44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Charts!$A$108:$A$115</c:f>
              <c:strCache>
                <c:ptCount val="8"/>
                <c:pt idx="0">
                  <c:v>ANDHRA PRADESH</c:v>
                </c:pt>
                <c:pt idx="1">
                  <c:v>ODISHA</c:v>
                </c:pt>
                <c:pt idx="2">
                  <c:v>GUJARAT</c:v>
                </c:pt>
                <c:pt idx="3">
                  <c:v>KERALA</c:v>
                </c:pt>
                <c:pt idx="4">
                  <c:v>ANDAMAN &amp; NIC.</c:v>
                </c:pt>
                <c:pt idx="5">
                  <c:v>GOA</c:v>
                </c:pt>
                <c:pt idx="6">
                  <c:v>LAKSHADWEEP</c:v>
                </c:pt>
                <c:pt idx="7">
                  <c:v>Others</c:v>
                </c:pt>
              </c:strCache>
            </c:strRef>
          </c:cat>
          <c:val>
            <c:numRef>
              <c:f>Charts!$B$108:$B$115</c:f>
              <c:numCache>
                <c:formatCode>General</c:formatCode>
                <c:ptCount val="8"/>
                <c:pt idx="0">
                  <c:v>5439</c:v>
                </c:pt>
                <c:pt idx="1">
                  <c:v>4883</c:v>
                </c:pt>
                <c:pt idx="2">
                  <c:v>523</c:v>
                </c:pt>
                <c:pt idx="3">
                  <c:v>238</c:v>
                </c:pt>
                <c:pt idx="4">
                  <c:v>235</c:v>
                </c:pt>
                <c:pt idx="5">
                  <c:v>152</c:v>
                </c:pt>
                <c:pt idx="6">
                  <c:v>173</c:v>
                </c:pt>
                <c:pt idx="7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6B-41B1-A445-2328174E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3 States Employment Trend (2001–2025)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Charts!$E$119</c:f>
              <c:strCache>
                <c:ptCount val="1"/>
                <c:pt idx="0">
                  <c:v>Andhra Pradesh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Charts!$D$120:$D$144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Charts!$E$120:$E$144</c:f>
              <c:numCache>
                <c:formatCode>General</c:formatCode>
                <c:ptCount val="25"/>
                <c:pt idx="0">
                  <c:v>107</c:v>
                </c:pt>
                <c:pt idx="1">
                  <c:v>142</c:v>
                </c:pt>
                <c:pt idx="2">
                  <c:v>195</c:v>
                </c:pt>
                <c:pt idx="3">
                  <c:v>200</c:v>
                </c:pt>
                <c:pt idx="4">
                  <c:v>252</c:v>
                </c:pt>
                <c:pt idx="5">
                  <c:v>239</c:v>
                </c:pt>
                <c:pt idx="6">
                  <c:v>235</c:v>
                </c:pt>
                <c:pt idx="7">
                  <c:v>247</c:v>
                </c:pt>
                <c:pt idx="8">
                  <c:v>266</c:v>
                </c:pt>
                <c:pt idx="9">
                  <c:v>266</c:v>
                </c:pt>
                <c:pt idx="10">
                  <c:v>372</c:v>
                </c:pt>
                <c:pt idx="11">
                  <c:v>355</c:v>
                </c:pt>
                <c:pt idx="12">
                  <c:v>485</c:v>
                </c:pt>
                <c:pt idx="13">
                  <c:v>589</c:v>
                </c:pt>
                <c:pt idx="14">
                  <c:v>789</c:v>
                </c:pt>
                <c:pt idx="15">
                  <c:v>789</c:v>
                </c:pt>
                <c:pt idx="16">
                  <c:v>2153</c:v>
                </c:pt>
                <c:pt idx="17">
                  <c:v>2153</c:v>
                </c:pt>
                <c:pt idx="18">
                  <c:v>2278</c:v>
                </c:pt>
                <c:pt idx="19">
                  <c:v>2331</c:v>
                </c:pt>
                <c:pt idx="20">
                  <c:v>7487</c:v>
                </c:pt>
                <c:pt idx="21">
                  <c:v>7412</c:v>
                </c:pt>
                <c:pt idx="22">
                  <c:v>7609</c:v>
                </c:pt>
                <c:pt idx="23">
                  <c:v>7220</c:v>
                </c:pt>
                <c:pt idx="24">
                  <c:v>5439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AD-46B7-BE91-A01E34682E3C}"/>
            </c:ext>
          </c:extLst>
        </c:ser>
        <c:ser>
          <c:idx val="1"/>
          <c:order val="1"/>
          <c:tx>
            <c:strRef>
              <c:f>Charts!$F$119</c:f>
              <c:strCache>
                <c:ptCount val="1"/>
                <c:pt idx="0">
                  <c:v>Odisha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Charts!$D$120:$D$144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Charts!$F$120:$F$144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118</c:v>
                </c:pt>
                <c:pt idx="8">
                  <c:v>130</c:v>
                </c:pt>
                <c:pt idx="9">
                  <c:v>169</c:v>
                </c:pt>
                <c:pt idx="10">
                  <c:v>218</c:v>
                </c:pt>
                <c:pt idx="11">
                  <c:v>295</c:v>
                </c:pt>
                <c:pt idx="12">
                  <c:v>309</c:v>
                </c:pt>
                <c:pt idx="13">
                  <c:v>295</c:v>
                </c:pt>
                <c:pt idx="14">
                  <c:v>355</c:v>
                </c:pt>
                <c:pt idx="15">
                  <c:v>355</c:v>
                </c:pt>
                <c:pt idx="16">
                  <c:v>607</c:v>
                </c:pt>
                <c:pt idx="17">
                  <c:v>485</c:v>
                </c:pt>
                <c:pt idx="18">
                  <c:v>361</c:v>
                </c:pt>
                <c:pt idx="19">
                  <c:v>535</c:v>
                </c:pt>
                <c:pt idx="20">
                  <c:v>534</c:v>
                </c:pt>
                <c:pt idx="21">
                  <c:v>419</c:v>
                </c:pt>
                <c:pt idx="22">
                  <c:v>4347</c:v>
                </c:pt>
                <c:pt idx="23">
                  <c:v>4345</c:v>
                </c:pt>
                <c:pt idx="24">
                  <c:v>4883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AD-46B7-BE91-A01E34682E3C}"/>
            </c:ext>
          </c:extLst>
        </c:ser>
        <c:ser>
          <c:idx val="2"/>
          <c:order val="2"/>
          <c:tx>
            <c:strRef>
              <c:f>Charts!$G$119</c:f>
              <c:strCache>
                <c:ptCount val="1"/>
                <c:pt idx="0">
                  <c:v>Gujarat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Charts!$D$120:$D$144</c:f>
              <c:numCache>
                <c:formatCode>General</c:formatCode>
                <c:ptCount val="2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</c:numCache>
            </c:numRef>
          </c:cat>
          <c:val>
            <c:numRef>
              <c:f>Charts!$G$120:$G$144</c:f>
              <c:numCache>
                <c:formatCode>General</c:formatCode>
                <c:ptCount val="25"/>
                <c:pt idx="0">
                  <c:v>2441</c:v>
                </c:pt>
                <c:pt idx="1">
                  <c:v>2441</c:v>
                </c:pt>
                <c:pt idx="2">
                  <c:v>2303</c:v>
                </c:pt>
                <c:pt idx="3">
                  <c:v>1803</c:v>
                </c:pt>
                <c:pt idx="4">
                  <c:v>1581</c:v>
                </c:pt>
                <c:pt idx="5">
                  <c:v>1154</c:v>
                </c:pt>
                <c:pt idx="6">
                  <c:v>1452</c:v>
                </c:pt>
                <c:pt idx="7">
                  <c:v>1405</c:v>
                </c:pt>
                <c:pt idx="8">
                  <c:v>1408</c:v>
                </c:pt>
                <c:pt idx="9">
                  <c:v>1371</c:v>
                </c:pt>
                <c:pt idx="10">
                  <c:v>969</c:v>
                </c:pt>
                <c:pt idx="11">
                  <c:v>1397</c:v>
                </c:pt>
                <c:pt idx="12">
                  <c:v>1514</c:v>
                </c:pt>
                <c:pt idx="13">
                  <c:v>1720</c:v>
                </c:pt>
                <c:pt idx="14">
                  <c:v>1465</c:v>
                </c:pt>
                <c:pt idx="15">
                  <c:v>1465</c:v>
                </c:pt>
                <c:pt idx="16">
                  <c:v>1327</c:v>
                </c:pt>
                <c:pt idx="17">
                  <c:v>1251</c:v>
                </c:pt>
                <c:pt idx="18">
                  <c:v>1056</c:v>
                </c:pt>
                <c:pt idx="19">
                  <c:v>935</c:v>
                </c:pt>
                <c:pt idx="20">
                  <c:v>803</c:v>
                </c:pt>
                <c:pt idx="21">
                  <c:v>687</c:v>
                </c:pt>
                <c:pt idx="22">
                  <c:v>627</c:v>
                </c:pt>
                <c:pt idx="23">
                  <c:v>593</c:v>
                </c:pt>
                <c:pt idx="24">
                  <c:v>523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AD-46B7-BE91-A01E3468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97775"/>
        <c:axId val="87054880"/>
      </c:lineChart>
      <c:catAx>
        <c:axId val="81977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54880"/>
        <c:crosses val="autoZero"/>
        <c:auto val="1"/>
        <c:lblAlgn val="ctr"/>
        <c:lblOffset val="100"/>
        <c:noMultiLvlLbl val="0"/>
      </c:catAx>
      <c:valAx>
        <c:axId val="870548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7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National Employment: Historical (2016–2025) + Forecast (2026–2030)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Forecast!$B$19</c:f>
              <c:strCache>
                <c:ptCount val="1"/>
                <c:pt idx="0">
                  <c:v>Historical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Forecast!$A$20:$A$34</c:f>
              <c:numCache>
                <c:formatCode>General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cat>
          <c:val>
            <c:numRef>
              <c:f>Forecast!$B$20:$B$34</c:f>
              <c:numCache>
                <c:formatCode>General</c:formatCode>
                <c:ptCount val="15"/>
                <c:pt idx="0">
                  <c:v>4468</c:v>
                </c:pt>
                <c:pt idx="1">
                  <c:v>5284</c:v>
                </c:pt>
                <c:pt idx="2">
                  <c:v>5124</c:v>
                </c:pt>
                <c:pt idx="3">
                  <c:v>5108</c:v>
                </c:pt>
                <c:pt idx="4">
                  <c:v>5232</c:v>
                </c:pt>
                <c:pt idx="5">
                  <c:v>9945</c:v>
                </c:pt>
                <c:pt idx="6">
                  <c:v>9598</c:v>
                </c:pt>
                <c:pt idx="7">
                  <c:v>14219</c:v>
                </c:pt>
                <c:pt idx="8">
                  <c:v>13381</c:v>
                </c:pt>
                <c:pt idx="9">
                  <c:v>11900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53-40AF-A908-C08A8358BE9A}"/>
            </c:ext>
          </c:extLst>
        </c:ser>
        <c:ser>
          <c:idx val="1"/>
          <c:order val="1"/>
          <c:tx>
            <c:strRef>
              <c:f>Forecast!$C$19</c:f>
              <c:strCache>
                <c:ptCount val="1"/>
                <c:pt idx="0">
                  <c:v>Forecast</c:v>
                </c:pt>
              </c:strCache>
            </c:strRef>
          </c:tx>
          <c:spPr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Forecast!$A$20:$A$34</c:f>
              <c:numCache>
                <c:formatCode>General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cat>
          <c:val>
            <c:numRef>
              <c:f>Forecast!$C$20:$C$34</c:f>
              <c:numCache>
                <c:formatCode>General</c:formatCode>
                <c:ptCount val="15"/>
                <c:pt idx="9">
                  <c:v>14667</c:v>
                </c:pt>
                <c:pt idx="10">
                  <c:v>15804</c:v>
                </c:pt>
                <c:pt idx="11">
                  <c:v>16939</c:v>
                </c:pt>
                <c:pt idx="12">
                  <c:v>18087</c:v>
                </c:pt>
                <c:pt idx="13">
                  <c:v>19386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53-40AF-A908-C08A8358B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83447"/>
        <c:axId val="21862221"/>
      </c:lineChart>
      <c:catAx>
        <c:axId val="11834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62221"/>
        <c:crosses val="autoZero"/>
        <c:auto val="1"/>
        <c:lblAlgn val="ctr"/>
        <c:lblOffset val="100"/>
        <c:noMultiLvlLbl val="0"/>
      </c:catAx>
      <c:valAx>
        <c:axId val="218622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Employment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3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10</xdr:col>
      <xdr:colOff>135360</xdr:colOff>
      <xdr:row>29</xdr:row>
      <xdr:rowOff>127800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21</xdr:col>
      <xdr:colOff>375120</xdr:colOff>
      <xdr:row>29</xdr:row>
      <xdr:rowOff>127800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197040</xdr:colOff>
      <xdr:row>28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305220</xdr:colOff>
      <xdr:row>28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9</xdr:col>
      <xdr:colOff>463740</xdr:colOff>
      <xdr:row>53</xdr:row>
      <xdr:rowOff>107640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22</xdr:col>
      <xdr:colOff>305220</xdr:colOff>
      <xdr:row>53</xdr:row>
      <xdr:rowOff>107640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13</xdr:col>
      <xdr:colOff>680340</xdr:colOff>
      <xdr:row>44</xdr:row>
      <xdr:rowOff>107280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Z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Z14" sqref="Z14"/>
    </sheetView>
  </sheetViews>
  <sheetFormatPr defaultColWidth="8.6640625" defaultRowHeight="14.4" x14ac:dyDescent="0.3"/>
  <cols>
    <col min="1" max="1" width="28" style="15" customWidth="1"/>
    <col min="2" max="26" width="7" style="15" customWidth="1"/>
  </cols>
  <sheetData>
    <row r="1" spans="1:26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1.75" customHeight="1" x14ac:dyDescent="0.3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</row>
    <row r="3" spans="1:26" ht="14.25" customHeight="1" x14ac:dyDescent="0.3">
      <c r="A3" s="17" t="s">
        <v>27</v>
      </c>
      <c r="B3" s="18">
        <v>2441</v>
      </c>
      <c r="C3" s="18">
        <v>2441</v>
      </c>
      <c r="D3" s="18">
        <v>2662</v>
      </c>
      <c r="E3" s="18">
        <v>2048</v>
      </c>
      <c r="F3" s="18">
        <v>1816</v>
      </c>
      <c r="G3" s="18">
        <v>1265</v>
      </c>
      <c r="H3" s="18">
        <v>1743</v>
      </c>
      <c r="I3" s="18">
        <v>1718</v>
      </c>
      <c r="J3" s="18">
        <v>1650</v>
      </c>
      <c r="K3" s="18">
        <v>1590</v>
      </c>
      <c r="L3" s="18">
        <v>981</v>
      </c>
      <c r="M3" s="18">
        <v>1886</v>
      </c>
      <c r="N3" s="18">
        <v>1814</v>
      </c>
      <c r="O3" s="18">
        <v>1723</v>
      </c>
      <c r="P3" s="18">
        <v>1593</v>
      </c>
      <c r="Q3" s="18">
        <v>1465</v>
      </c>
      <c r="R3" s="18">
        <v>1327</v>
      </c>
      <c r="S3" s="18">
        <v>1251</v>
      </c>
      <c r="T3" s="18">
        <v>1056</v>
      </c>
      <c r="U3" s="18">
        <v>935</v>
      </c>
      <c r="V3" s="18">
        <v>803</v>
      </c>
      <c r="W3" s="18">
        <v>687</v>
      </c>
      <c r="X3" s="18">
        <v>627</v>
      </c>
      <c r="Y3" s="18">
        <v>593</v>
      </c>
      <c r="Z3" s="18">
        <v>523</v>
      </c>
    </row>
    <row r="4" spans="1:26" ht="14.25" customHeight="1" x14ac:dyDescent="0.3">
      <c r="A4" s="19" t="s">
        <v>28</v>
      </c>
      <c r="B4" s="20">
        <v>173</v>
      </c>
      <c r="C4" s="20">
        <v>173</v>
      </c>
      <c r="D4" s="20">
        <v>173</v>
      </c>
      <c r="E4" s="20">
        <v>165</v>
      </c>
      <c r="F4" s="20">
        <v>154</v>
      </c>
      <c r="G4" s="20">
        <v>154</v>
      </c>
      <c r="H4" s="20">
        <v>154</v>
      </c>
      <c r="I4" s="20">
        <v>153</v>
      </c>
      <c r="J4" s="20">
        <v>130</v>
      </c>
      <c r="K4" s="20">
        <v>84</v>
      </c>
      <c r="L4" s="20">
        <v>84</v>
      </c>
      <c r="M4" s="20">
        <v>158</v>
      </c>
      <c r="N4" s="20">
        <v>361</v>
      </c>
      <c r="O4" s="20">
        <v>117</v>
      </c>
      <c r="P4" s="20">
        <v>111</v>
      </c>
      <c r="Q4" s="20">
        <v>111</v>
      </c>
      <c r="R4" s="20">
        <v>50</v>
      </c>
      <c r="S4" s="20">
        <v>50</v>
      </c>
      <c r="T4" s="20">
        <v>53</v>
      </c>
      <c r="U4" s="20">
        <v>87</v>
      </c>
      <c r="V4" s="20">
        <v>84</v>
      </c>
      <c r="W4" s="20">
        <v>84</v>
      </c>
      <c r="X4" s="20">
        <v>354</v>
      </c>
      <c r="Y4" s="20">
        <v>78</v>
      </c>
      <c r="Z4" s="20">
        <v>100</v>
      </c>
    </row>
    <row r="5" spans="1:26" ht="14.25" customHeight="1" x14ac:dyDescent="0.3">
      <c r="A5" s="17" t="s">
        <v>29</v>
      </c>
      <c r="B5" s="18">
        <v>166</v>
      </c>
      <c r="C5" s="18">
        <v>166</v>
      </c>
      <c r="D5" s="18">
        <v>166</v>
      </c>
      <c r="E5" s="18">
        <v>139</v>
      </c>
      <c r="F5" s="18">
        <v>139</v>
      </c>
      <c r="G5" s="18">
        <v>134</v>
      </c>
      <c r="H5" s="18">
        <v>133</v>
      </c>
      <c r="I5" s="18">
        <v>146</v>
      </c>
      <c r="J5" s="18">
        <v>140</v>
      </c>
      <c r="K5" s="18">
        <v>140</v>
      </c>
      <c r="L5" s="18">
        <v>141</v>
      </c>
      <c r="M5" s="18">
        <v>148</v>
      </c>
      <c r="N5" s="18">
        <v>155</v>
      </c>
      <c r="O5" s="18">
        <v>144</v>
      </c>
      <c r="P5" s="18">
        <v>142</v>
      </c>
      <c r="Q5" s="18">
        <v>150</v>
      </c>
      <c r="R5" s="18">
        <v>142</v>
      </c>
      <c r="S5" s="18">
        <v>142</v>
      </c>
      <c r="T5" s="18">
        <v>136</v>
      </c>
      <c r="U5" s="18">
        <v>129</v>
      </c>
      <c r="V5" s="18">
        <v>125</v>
      </c>
      <c r="W5" s="18">
        <v>158</v>
      </c>
      <c r="X5" s="18">
        <v>152</v>
      </c>
      <c r="Y5" s="18">
        <v>154</v>
      </c>
      <c r="Z5" s="18">
        <v>152</v>
      </c>
    </row>
    <row r="6" spans="1:26" ht="14.25" customHeight="1" x14ac:dyDescent="0.3">
      <c r="A6" s="19" t="s">
        <v>30</v>
      </c>
      <c r="B6" s="20">
        <v>22</v>
      </c>
      <c r="C6" s="20">
        <v>22</v>
      </c>
      <c r="D6" s="20">
        <v>22</v>
      </c>
      <c r="E6" s="20">
        <v>22</v>
      </c>
      <c r="F6" s="20">
        <v>22</v>
      </c>
      <c r="G6" s="20">
        <v>22</v>
      </c>
      <c r="H6" s="20">
        <v>22</v>
      </c>
      <c r="I6" s="20">
        <v>22</v>
      </c>
      <c r="J6" s="20">
        <v>22</v>
      </c>
      <c r="K6" s="20">
        <v>22</v>
      </c>
      <c r="L6" s="20">
        <v>22</v>
      </c>
      <c r="M6" s="20">
        <v>13</v>
      </c>
      <c r="N6" s="20">
        <v>10</v>
      </c>
      <c r="O6" s="20">
        <v>10</v>
      </c>
      <c r="P6" s="20">
        <v>10</v>
      </c>
      <c r="Q6" s="20">
        <v>10</v>
      </c>
      <c r="R6" s="20">
        <v>10</v>
      </c>
      <c r="S6" s="20">
        <v>16</v>
      </c>
      <c r="T6" s="20">
        <v>6</v>
      </c>
      <c r="U6" s="20">
        <v>5</v>
      </c>
      <c r="V6" s="20">
        <v>5</v>
      </c>
      <c r="W6" s="20">
        <v>4</v>
      </c>
      <c r="X6" s="20">
        <v>3</v>
      </c>
      <c r="Y6" s="20">
        <v>3</v>
      </c>
      <c r="Z6" s="20">
        <v>3</v>
      </c>
    </row>
    <row r="7" spans="1:26" ht="14.25" customHeight="1" x14ac:dyDescent="0.3">
      <c r="A7" s="17" t="s">
        <v>31</v>
      </c>
      <c r="B7" s="18">
        <v>71</v>
      </c>
      <c r="C7" s="18">
        <v>71</v>
      </c>
      <c r="D7" s="18">
        <v>99</v>
      </c>
      <c r="E7" s="18">
        <v>76</v>
      </c>
      <c r="F7" s="18">
        <v>105</v>
      </c>
      <c r="G7" s="18">
        <v>109</v>
      </c>
      <c r="H7" s="18">
        <v>103</v>
      </c>
      <c r="I7" s="18">
        <v>55</v>
      </c>
      <c r="J7" s="18">
        <v>146</v>
      </c>
      <c r="K7" s="18">
        <v>145</v>
      </c>
      <c r="L7" s="18">
        <v>145</v>
      </c>
      <c r="M7" s="18">
        <v>124</v>
      </c>
      <c r="N7" s="18">
        <v>124</v>
      </c>
      <c r="O7" s="18">
        <v>124</v>
      </c>
      <c r="P7" s="18">
        <v>0</v>
      </c>
      <c r="Q7" s="18">
        <v>60</v>
      </c>
      <c r="R7" s="18">
        <v>61</v>
      </c>
      <c r="S7" s="18">
        <v>53</v>
      </c>
      <c r="T7" s="18">
        <v>53</v>
      </c>
      <c r="U7" s="18">
        <v>36</v>
      </c>
      <c r="V7" s="18">
        <v>50</v>
      </c>
      <c r="W7" s="18">
        <v>51</v>
      </c>
      <c r="X7" s="18">
        <v>51</v>
      </c>
      <c r="Y7" s="18">
        <v>42</v>
      </c>
      <c r="Z7" s="18">
        <v>45</v>
      </c>
    </row>
    <row r="8" spans="1:26" ht="14.25" customHeight="1" x14ac:dyDescent="0.3">
      <c r="A8" s="19" t="s">
        <v>32</v>
      </c>
      <c r="B8" s="20">
        <v>354</v>
      </c>
      <c r="C8" s="20">
        <v>354</v>
      </c>
      <c r="D8" s="20">
        <v>316</v>
      </c>
      <c r="E8" s="20">
        <v>257</v>
      </c>
      <c r="F8" s="20">
        <v>121</v>
      </c>
      <c r="G8" s="20">
        <v>121</v>
      </c>
      <c r="H8" s="20">
        <v>185</v>
      </c>
      <c r="I8" s="20">
        <v>191</v>
      </c>
      <c r="J8" s="20">
        <v>175</v>
      </c>
      <c r="K8" s="20">
        <v>175</v>
      </c>
      <c r="L8" s="20">
        <v>195</v>
      </c>
      <c r="M8" s="20">
        <v>136</v>
      </c>
      <c r="N8" s="20">
        <v>133</v>
      </c>
      <c r="O8" s="20">
        <v>683</v>
      </c>
      <c r="P8" s="20">
        <v>674</v>
      </c>
      <c r="Q8" s="20">
        <v>675</v>
      </c>
      <c r="R8" s="20">
        <v>63</v>
      </c>
      <c r="S8" s="20">
        <v>89</v>
      </c>
      <c r="T8" s="20">
        <v>262</v>
      </c>
      <c r="U8" s="20">
        <v>271</v>
      </c>
      <c r="V8" s="20">
        <v>274</v>
      </c>
      <c r="W8" s="20">
        <v>258</v>
      </c>
      <c r="X8" s="20">
        <v>220</v>
      </c>
      <c r="Y8" s="20">
        <v>220</v>
      </c>
      <c r="Z8" s="20">
        <v>238</v>
      </c>
    </row>
    <row r="9" spans="1:26" ht="14.25" customHeight="1" x14ac:dyDescent="0.3">
      <c r="A9" s="17" t="s">
        <v>33</v>
      </c>
      <c r="B9" s="18">
        <v>110</v>
      </c>
      <c r="C9" s="18">
        <v>110</v>
      </c>
      <c r="D9" s="18">
        <v>110</v>
      </c>
      <c r="E9" s="18">
        <v>73</v>
      </c>
      <c r="F9" s="18">
        <v>89</v>
      </c>
      <c r="G9" s="18">
        <v>68</v>
      </c>
      <c r="H9" s="18">
        <v>68</v>
      </c>
      <c r="I9" s="18">
        <v>62</v>
      </c>
      <c r="J9" s="18">
        <v>60</v>
      </c>
      <c r="K9" s="18">
        <v>60</v>
      </c>
      <c r="L9" s="18">
        <v>51</v>
      </c>
      <c r="M9" s="18">
        <v>56</v>
      </c>
      <c r="N9" s="18">
        <v>28</v>
      </c>
      <c r="O9" s="18">
        <v>35</v>
      </c>
      <c r="P9" s="18">
        <v>19</v>
      </c>
      <c r="Q9" s="18">
        <v>37</v>
      </c>
      <c r="R9" s="18">
        <v>30</v>
      </c>
      <c r="S9" s="18">
        <v>49</v>
      </c>
      <c r="T9" s="18">
        <v>35</v>
      </c>
      <c r="U9" s="18">
        <v>35</v>
      </c>
      <c r="V9" s="18">
        <v>38</v>
      </c>
      <c r="W9" s="18">
        <v>36</v>
      </c>
      <c r="X9" s="18">
        <v>34</v>
      </c>
      <c r="Y9" s="18">
        <v>33</v>
      </c>
      <c r="Z9" s="18">
        <v>22</v>
      </c>
    </row>
    <row r="10" spans="1:26" ht="14.25" customHeight="1" x14ac:dyDescent="0.3">
      <c r="A10" s="19" t="s">
        <v>34</v>
      </c>
      <c r="B10" s="20">
        <v>92</v>
      </c>
      <c r="C10" s="20">
        <v>92</v>
      </c>
      <c r="D10" s="20">
        <v>79</v>
      </c>
      <c r="E10" s="20">
        <v>79</v>
      </c>
      <c r="F10" s="20">
        <v>75</v>
      </c>
      <c r="G10" s="20">
        <v>75</v>
      </c>
      <c r="H10" s="20">
        <v>42</v>
      </c>
      <c r="I10" s="20">
        <v>33</v>
      </c>
      <c r="J10" s="20">
        <v>59</v>
      </c>
      <c r="K10" s="20">
        <v>59</v>
      </c>
      <c r="L10" s="20">
        <v>66</v>
      </c>
      <c r="M10" s="20">
        <v>60</v>
      </c>
      <c r="N10" s="20">
        <v>485</v>
      </c>
      <c r="O10" s="20">
        <v>485</v>
      </c>
      <c r="P10" s="20">
        <v>222</v>
      </c>
      <c r="Q10" s="20">
        <v>178</v>
      </c>
      <c r="R10" s="20">
        <v>218</v>
      </c>
      <c r="S10" s="20">
        <v>233</v>
      </c>
      <c r="T10" s="20">
        <v>245</v>
      </c>
      <c r="U10" s="20">
        <v>245</v>
      </c>
      <c r="V10" s="20">
        <v>266</v>
      </c>
      <c r="W10" s="20">
        <v>266</v>
      </c>
      <c r="X10" s="20">
        <v>266</v>
      </c>
      <c r="Y10" s="20">
        <v>266</v>
      </c>
      <c r="Z10" s="20">
        <v>87</v>
      </c>
    </row>
    <row r="11" spans="1:26" ht="14.25" customHeight="1" x14ac:dyDescent="0.3">
      <c r="A11" s="17" t="s">
        <v>35</v>
      </c>
      <c r="B11" s="18">
        <v>107</v>
      </c>
      <c r="C11" s="18">
        <v>107</v>
      </c>
      <c r="D11" s="18">
        <v>109</v>
      </c>
      <c r="E11" s="18">
        <v>62</v>
      </c>
      <c r="F11" s="18">
        <v>66</v>
      </c>
      <c r="G11" s="18">
        <v>57</v>
      </c>
      <c r="H11" s="18">
        <v>57</v>
      </c>
      <c r="I11" s="18">
        <v>69</v>
      </c>
      <c r="J11" s="18">
        <v>269</v>
      </c>
      <c r="K11" s="18">
        <v>269</v>
      </c>
      <c r="L11" s="18">
        <v>269</v>
      </c>
      <c r="M11" s="18">
        <v>1153</v>
      </c>
      <c r="N11" s="18">
        <v>1195</v>
      </c>
      <c r="O11" s="18">
        <v>1195</v>
      </c>
      <c r="P11" s="18">
        <v>789</v>
      </c>
      <c r="Q11" s="18">
        <v>789</v>
      </c>
      <c r="R11" s="18">
        <v>2153</v>
      </c>
      <c r="S11" s="18">
        <v>2153</v>
      </c>
      <c r="T11" s="18">
        <v>2278</v>
      </c>
      <c r="U11" s="18">
        <v>2331</v>
      </c>
      <c r="V11" s="18">
        <v>7487</v>
      </c>
      <c r="W11" s="18">
        <v>7412</v>
      </c>
      <c r="X11" s="18">
        <v>7609</v>
      </c>
      <c r="Y11" s="18">
        <v>7220</v>
      </c>
      <c r="Z11" s="18">
        <v>5439</v>
      </c>
    </row>
    <row r="12" spans="1:26" ht="14.25" customHeight="1" x14ac:dyDescent="0.3">
      <c r="A12" s="19" t="s">
        <v>36</v>
      </c>
      <c r="B12" s="20">
        <v>474</v>
      </c>
      <c r="C12" s="20">
        <v>474</v>
      </c>
      <c r="D12" s="20">
        <v>477</v>
      </c>
      <c r="E12" s="20">
        <v>470</v>
      </c>
      <c r="F12" s="20">
        <v>468</v>
      </c>
      <c r="G12" s="20">
        <v>452</v>
      </c>
      <c r="H12" s="20">
        <v>447</v>
      </c>
      <c r="I12" s="20">
        <v>452</v>
      </c>
      <c r="J12" s="20">
        <v>454</v>
      </c>
      <c r="K12" s="20">
        <v>454</v>
      </c>
      <c r="L12" s="20">
        <v>448</v>
      </c>
      <c r="M12" s="20">
        <v>422</v>
      </c>
      <c r="N12" s="20">
        <v>425</v>
      </c>
      <c r="O12" s="20">
        <v>641</v>
      </c>
      <c r="P12" s="20">
        <v>647</v>
      </c>
      <c r="Q12" s="20">
        <v>638</v>
      </c>
      <c r="R12" s="20">
        <v>623</v>
      </c>
      <c r="S12" s="20">
        <v>603</v>
      </c>
      <c r="T12" s="20">
        <v>623</v>
      </c>
      <c r="U12" s="20">
        <v>623</v>
      </c>
      <c r="V12" s="20">
        <v>279</v>
      </c>
      <c r="W12" s="20">
        <v>223</v>
      </c>
      <c r="X12" s="20">
        <v>371</v>
      </c>
      <c r="Y12" s="20">
        <v>250</v>
      </c>
      <c r="Z12" s="20">
        <v>235</v>
      </c>
    </row>
    <row r="13" spans="1:26" ht="14.25" customHeight="1" x14ac:dyDescent="0.3">
      <c r="A13" s="17" t="s">
        <v>37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118</v>
      </c>
      <c r="J13" s="18">
        <v>118</v>
      </c>
      <c r="K13" s="18">
        <v>118</v>
      </c>
      <c r="L13" s="18">
        <v>118</v>
      </c>
      <c r="M13" s="18">
        <v>0</v>
      </c>
      <c r="N13" s="18">
        <v>367</v>
      </c>
      <c r="O13" s="18">
        <v>759</v>
      </c>
      <c r="P13" s="18">
        <v>355</v>
      </c>
      <c r="Q13" s="18">
        <v>355</v>
      </c>
      <c r="R13" s="18">
        <v>607</v>
      </c>
      <c r="S13" s="18">
        <v>485</v>
      </c>
      <c r="T13" s="18">
        <v>361</v>
      </c>
      <c r="U13" s="18">
        <v>535</v>
      </c>
      <c r="V13" s="18">
        <v>534</v>
      </c>
      <c r="W13" s="18">
        <v>419</v>
      </c>
      <c r="X13" s="18">
        <v>4347</v>
      </c>
      <c r="Y13" s="18">
        <v>4345</v>
      </c>
      <c r="Z13" s="18">
        <v>4883</v>
      </c>
    </row>
    <row r="14" spans="1:26" ht="14.25" customHeight="1" x14ac:dyDescent="0.3">
      <c r="A14" s="19" t="s">
        <v>38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111</v>
      </c>
      <c r="P14" s="20">
        <v>111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185</v>
      </c>
      <c r="Y14" s="20">
        <v>177</v>
      </c>
      <c r="Z14" s="20">
        <v>173</v>
      </c>
    </row>
    <row r="15" spans="1:26" ht="19.5" customHeight="1" x14ac:dyDescent="0.3">
      <c r="A15" s="21" t="s">
        <v>39</v>
      </c>
      <c r="B15" s="22">
        <f t="shared" ref="B15:Z15" si="0">SUM(B3:B14)</f>
        <v>4010</v>
      </c>
      <c r="C15" s="22">
        <f t="shared" si="0"/>
        <v>4010</v>
      </c>
      <c r="D15" s="22">
        <f t="shared" si="0"/>
        <v>4213</v>
      </c>
      <c r="E15" s="22">
        <f t="shared" si="0"/>
        <v>3391</v>
      </c>
      <c r="F15" s="22">
        <f t="shared" si="0"/>
        <v>3055</v>
      </c>
      <c r="G15" s="22">
        <f t="shared" si="0"/>
        <v>2457</v>
      </c>
      <c r="H15" s="22">
        <f t="shared" si="0"/>
        <v>2954</v>
      </c>
      <c r="I15" s="22">
        <f t="shared" si="0"/>
        <v>3019</v>
      </c>
      <c r="J15" s="22">
        <f t="shared" si="0"/>
        <v>3223</v>
      </c>
      <c r="K15" s="22">
        <f t="shared" si="0"/>
        <v>3116</v>
      </c>
      <c r="L15" s="22">
        <f t="shared" si="0"/>
        <v>2520</v>
      </c>
      <c r="M15" s="22">
        <f t="shared" si="0"/>
        <v>4156</v>
      </c>
      <c r="N15" s="22">
        <f t="shared" si="0"/>
        <v>5097</v>
      </c>
      <c r="O15" s="22">
        <f t="shared" si="0"/>
        <v>6027</v>
      </c>
      <c r="P15" s="22">
        <f t="shared" si="0"/>
        <v>4673</v>
      </c>
      <c r="Q15" s="22">
        <f t="shared" si="0"/>
        <v>4468</v>
      </c>
      <c r="R15" s="22">
        <f t="shared" si="0"/>
        <v>5284</v>
      </c>
      <c r="S15" s="22">
        <f t="shared" si="0"/>
        <v>5124</v>
      </c>
      <c r="T15" s="22">
        <f t="shared" si="0"/>
        <v>5108</v>
      </c>
      <c r="U15" s="22">
        <f t="shared" si="0"/>
        <v>5232</v>
      </c>
      <c r="V15" s="22">
        <f t="shared" si="0"/>
        <v>9945</v>
      </c>
      <c r="W15" s="22">
        <f t="shared" si="0"/>
        <v>9598</v>
      </c>
      <c r="X15" s="22">
        <f t="shared" si="0"/>
        <v>14219</v>
      </c>
      <c r="Y15" s="22">
        <f t="shared" si="0"/>
        <v>13381</v>
      </c>
      <c r="Z15" s="22">
        <f t="shared" si="0"/>
        <v>11900</v>
      </c>
    </row>
  </sheetData>
  <mergeCells count="1">
    <mergeCell ref="A1:Z1"/>
  </mergeCells>
  <conditionalFormatting sqref="B3:Z14">
    <cfRule type="colorScale" priority="2">
      <colorScale>
        <cfvo type="min"/>
        <cfvo type="percentile" val="50"/>
        <cfvo type="max"/>
        <color rgb="FFFF0000"/>
        <color rgb="FFFFFF00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14"/>
  <sheetViews>
    <sheetView showGridLines="0" zoomScaleNormal="100" workbookViewId="0">
      <selection activeCell="C3" sqref="C3"/>
    </sheetView>
  </sheetViews>
  <sheetFormatPr defaultColWidth="8.6640625" defaultRowHeight="14.4" x14ac:dyDescent="0.3"/>
  <cols>
    <col min="1" max="1" width="28" style="15" customWidth="1"/>
    <col min="2" max="2" width="18" style="15" customWidth="1"/>
    <col min="3" max="3" width="12" style="15" customWidth="1"/>
    <col min="4" max="5" width="16" style="15" customWidth="1"/>
    <col min="6" max="7" width="10" style="15" customWidth="1"/>
    <col min="8" max="8" width="22" style="15" customWidth="1"/>
  </cols>
  <sheetData>
    <row r="1" spans="1:8" ht="27.75" customHeight="1" x14ac:dyDescent="0.3">
      <c r="A1" s="13" t="s">
        <v>40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6" t="s">
        <v>41</v>
      </c>
      <c r="B2" s="16" t="s">
        <v>42</v>
      </c>
      <c r="C2" s="16" t="s">
        <v>43</v>
      </c>
      <c r="D2" s="16" t="s">
        <v>44</v>
      </c>
      <c r="E2" s="16" t="s">
        <v>45</v>
      </c>
      <c r="F2" s="16" t="s">
        <v>2</v>
      </c>
      <c r="G2" s="16" t="s">
        <v>26</v>
      </c>
      <c r="H2" s="16" t="s">
        <v>46</v>
      </c>
    </row>
    <row r="3" spans="1:8" ht="14.25" customHeight="1" x14ac:dyDescent="0.3">
      <c r="A3" s="17" t="str">
        <f>'Raw Data'!A3</f>
        <v>GUJARAT</v>
      </c>
      <c r="B3" s="18">
        <f>SUM('Raw Data'!B3:Z3)</f>
        <v>36638</v>
      </c>
      <c r="C3" s="18">
        <f>ROUND(AVERAGE('Raw Data'!B3:Z3),0)</f>
        <v>1466</v>
      </c>
      <c r="D3" s="18">
        <f>MAX('Raw Data'!B3:Z3)</f>
        <v>2662</v>
      </c>
      <c r="E3" s="18">
        <f>MIN(IF('Raw Data'!B3:Z3&gt;0,'Raw Data'!B3:Z3))</f>
        <v>523</v>
      </c>
      <c r="F3" s="18">
        <f>'Raw Data'!B3</f>
        <v>2441</v>
      </c>
      <c r="G3" s="18">
        <f>'Raw Data'!Z3</f>
        <v>523</v>
      </c>
      <c r="H3" s="23">
        <f t="shared" ref="H3:H14" si="0">IFERROR((G3-F3)/F3,"N/A")</f>
        <v>-0.7857435477263417</v>
      </c>
    </row>
    <row r="4" spans="1:8" ht="14.25" customHeight="1" x14ac:dyDescent="0.3">
      <c r="A4" s="19" t="str">
        <f>'Raw Data'!A4</f>
        <v>MAHARASHTRA</v>
      </c>
      <c r="B4" s="20">
        <f>SUM('Raw Data'!B4:Z4)</f>
        <v>3395</v>
      </c>
      <c r="C4" s="20">
        <f>ROUND(AVERAGE('Raw Data'!B4:Z4),0)</f>
        <v>136</v>
      </c>
      <c r="D4" s="20">
        <f>MAX('Raw Data'!B4:Z4)</f>
        <v>361</v>
      </c>
      <c r="E4" s="20">
        <f>MIN(IF('Raw Data'!B4:Z4&gt;0,'Raw Data'!B4:Z4))</f>
        <v>50</v>
      </c>
      <c r="F4" s="20">
        <f>'Raw Data'!B4</f>
        <v>173</v>
      </c>
      <c r="G4" s="20">
        <f>'Raw Data'!Z4</f>
        <v>100</v>
      </c>
      <c r="H4" s="24">
        <f t="shared" si="0"/>
        <v>-0.42196531791907516</v>
      </c>
    </row>
    <row r="5" spans="1:8" ht="14.25" customHeight="1" x14ac:dyDescent="0.3">
      <c r="A5" s="17" t="str">
        <f>'Raw Data'!A5</f>
        <v>GOA</v>
      </c>
      <c r="B5" s="18">
        <f>SUM('Raw Data'!B5:Z5)</f>
        <v>3639</v>
      </c>
      <c r="C5" s="18">
        <f>ROUND(AVERAGE('Raw Data'!B5:Z5),0)</f>
        <v>146</v>
      </c>
      <c r="D5" s="18">
        <f>MAX('Raw Data'!B5:Z5)</f>
        <v>166</v>
      </c>
      <c r="E5" s="18">
        <f>MIN(IF('Raw Data'!B5:Z5&gt;0,'Raw Data'!B5:Z5))</f>
        <v>125</v>
      </c>
      <c r="F5" s="18">
        <f>'Raw Data'!B5</f>
        <v>166</v>
      </c>
      <c r="G5" s="18">
        <f>'Raw Data'!Z5</f>
        <v>152</v>
      </c>
      <c r="H5" s="23">
        <f t="shared" si="0"/>
        <v>-8.4337349397590355E-2</v>
      </c>
    </row>
    <row r="6" spans="1:8" ht="14.25" customHeight="1" x14ac:dyDescent="0.3">
      <c r="A6" s="19" t="str">
        <f>'Raw Data'!A6</f>
        <v>DAMAN &amp; DIU</v>
      </c>
      <c r="B6" s="20">
        <f>SUM('Raw Data'!B6:Z6)</f>
        <v>350</v>
      </c>
      <c r="C6" s="20">
        <f>ROUND(AVERAGE('Raw Data'!B6:Z6),0)</f>
        <v>14</v>
      </c>
      <c r="D6" s="20">
        <f>MAX('Raw Data'!B6:Z6)</f>
        <v>22</v>
      </c>
      <c r="E6" s="20">
        <f>MIN(IF('Raw Data'!B6:Z6&gt;0,'Raw Data'!B6:Z6))</f>
        <v>3</v>
      </c>
      <c r="F6" s="20">
        <f>'Raw Data'!B6</f>
        <v>22</v>
      </c>
      <c r="G6" s="20">
        <f>'Raw Data'!Z6</f>
        <v>3</v>
      </c>
      <c r="H6" s="24">
        <f t="shared" si="0"/>
        <v>-0.86363636363636365</v>
      </c>
    </row>
    <row r="7" spans="1:8" ht="14.25" customHeight="1" x14ac:dyDescent="0.3">
      <c r="A7" s="17" t="str">
        <f>'Raw Data'!A7</f>
        <v>KARNATAKA</v>
      </c>
      <c r="B7" s="18">
        <f>SUM('Raw Data'!B7:Z7)</f>
        <v>1999</v>
      </c>
      <c r="C7" s="18">
        <f>ROUND(AVERAGE('Raw Data'!B7:Z7),0)</f>
        <v>80</v>
      </c>
      <c r="D7" s="18">
        <f>MAX('Raw Data'!B7:Z7)</f>
        <v>146</v>
      </c>
      <c r="E7" s="18">
        <f>MIN(IF('Raw Data'!B7:Z7&gt;0,'Raw Data'!B7:Z7))</f>
        <v>0</v>
      </c>
      <c r="F7" s="18">
        <f>'Raw Data'!B7</f>
        <v>71</v>
      </c>
      <c r="G7" s="18">
        <f>'Raw Data'!Z7</f>
        <v>45</v>
      </c>
      <c r="H7" s="23">
        <f t="shared" si="0"/>
        <v>-0.36619718309859156</v>
      </c>
    </row>
    <row r="8" spans="1:8" ht="14.25" customHeight="1" x14ac:dyDescent="0.3">
      <c r="A8" s="19" t="str">
        <f>'Raw Data'!A8</f>
        <v>KERALA</v>
      </c>
      <c r="B8" s="20">
        <f>SUM('Raw Data'!B8:Z8)</f>
        <v>6640</v>
      </c>
      <c r="C8" s="20">
        <f>ROUND(AVERAGE('Raw Data'!B8:Z8),0)</f>
        <v>266</v>
      </c>
      <c r="D8" s="20">
        <f>MAX('Raw Data'!B8:Z8)</f>
        <v>683</v>
      </c>
      <c r="E8" s="20">
        <f>MIN(IF('Raw Data'!B8:Z8&gt;0,'Raw Data'!B8:Z8))</f>
        <v>63</v>
      </c>
      <c r="F8" s="20">
        <f>'Raw Data'!B8</f>
        <v>354</v>
      </c>
      <c r="G8" s="20">
        <f>'Raw Data'!Z8</f>
        <v>238</v>
      </c>
      <c r="H8" s="24">
        <f t="shared" si="0"/>
        <v>-0.32768361581920902</v>
      </c>
    </row>
    <row r="9" spans="1:8" ht="14.25" customHeight="1" x14ac:dyDescent="0.3">
      <c r="A9" s="17" t="str">
        <f>'Raw Data'!A9</f>
        <v>TAMIL NADU</v>
      </c>
      <c r="B9" s="18">
        <f>SUM('Raw Data'!B9:Z9)</f>
        <v>1348</v>
      </c>
      <c r="C9" s="18">
        <f>ROUND(AVERAGE('Raw Data'!B9:Z9),0)</f>
        <v>54</v>
      </c>
      <c r="D9" s="18">
        <f>MAX('Raw Data'!B9:Z9)</f>
        <v>110</v>
      </c>
      <c r="E9" s="18">
        <f>MIN(IF('Raw Data'!B9:Z9&gt;0,'Raw Data'!B9:Z9))</f>
        <v>19</v>
      </c>
      <c r="F9" s="18">
        <f>'Raw Data'!B9</f>
        <v>110</v>
      </c>
      <c r="G9" s="18">
        <f>'Raw Data'!Z9</f>
        <v>22</v>
      </c>
      <c r="H9" s="23">
        <f t="shared" si="0"/>
        <v>-0.8</v>
      </c>
    </row>
    <row r="10" spans="1:8" ht="14.25" customHeight="1" x14ac:dyDescent="0.3">
      <c r="A10" s="19" t="str">
        <f>'Raw Data'!A10</f>
        <v>PUDUCHERRY</v>
      </c>
      <c r="B10" s="20">
        <f>SUM('Raw Data'!B10:Z10)</f>
        <v>4273</v>
      </c>
      <c r="C10" s="20">
        <f>ROUND(AVERAGE('Raw Data'!B10:Z10),0)</f>
        <v>171</v>
      </c>
      <c r="D10" s="20">
        <f>MAX('Raw Data'!B10:Z10)</f>
        <v>485</v>
      </c>
      <c r="E10" s="20">
        <f>MIN(IF('Raw Data'!B10:Z10&gt;0,'Raw Data'!B10:Z10))</f>
        <v>33</v>
      </c>
      <c r="F10" s="20">
        <f>'Raw Data'!B10</f>
        <v>92</v>
      </c>
      <c r="G10" s="20">
        <f>'Raw Data'!Z10</f>
        <v>87</v>
      </c>
      <c r="H10" s="24">
        <f t="shared" si="0"/>
        <v>-5.434782608695652E-2</v>
      </c>
    </row>
    <row r="11" spans="1:8" ht="14.25" customHeight="1" x14ac:dyDescent="0.3">
      <c r="A11" s="17" t="str">
        <f>'Raw Data'!A11</f>
        <v>ANDHRA PRADESH</v>
      </c>
      <c r="B11" s="18">
        <f>SUM('Raw Data'!B11:Z11)</f>
        <v>50644</v>
      </c>
      <c r="C11" s="18">
        <f>ROUND(AVERAGE('Raw Data'!B11:Z11),0)</f>
        <v>2026</v>
      </c>
      <c r="D11" s="18">
        <f>MAX('Raw Data'!B11:Z11)</f>
        <v>7609</v>
      </c>
      <c r="E11" s="18">
        <f>MIN(IF('Raw Data'!B11:Z11&gt;0,'Raw Data'!B11:Z11))</f>
        <v>57</v>
      </c>
      <c r="F11" s="18">
        <f>'Raw Data'!B11</f>
        <v>107</v>
      </c>
      <c r="G11" s="18">
        <f>'Raw Data'!Z11</f>
        <v>5439</v>
      </c>
      <c r="H11" s="23">
        <f t="shared" si="0"/>
        <v>49.831775700934578</v>
      </c>
    </row>
    <row r="12" spans="1:8" ht="14.25" customHeight="1" x14ac:dyDescent="0.3">
      <c r="A12" s="19" t="str">
        <f>'Raw Data'!A12</f>
        <v>ANDAMAN &amp; NICOBAR Island</v>
      </c>
      <c r="B12" s="20">
        <f>SUM('Raw Data'!B12:Z12)</f>
        <v>11673</v>
      </c>
      <c r="C12" s="20">
        <f>ROUND(AVERAGE('Raw Data'!B12:Z12),0)</f>
        <v>467</v>
      </c>
      <c r="D12" s="20">
        <f>MAX('Raw Data'!B12:Z12)</f>
        <v>647</v>
      </c>
      <c r="E12" s="20">
        <f>MIN(IF('Raw Data'!B12:Z12&gt;0,'Raw Data'!B12:Z12))</f>
        <v>223</v>
      </c>
      <c r="F12" s="20">
        <f>'Raw Data'!B12</f>
        <v>474</v>
      </c>
      <c r="G12" s="20">
        <f>'Raw Data'!Z12</f>
        <v>235</v>
      </c>
      <c r="H12" s="24">
        <f t="shared" si="0"/>
        <v>-0.50421940928270037</v>
      </c>
    </row>
    <row r="13" spans="1:8" ht="14.25" customHeight="1" x14ac:dyDescent="0.3">
      <c r="A13" s="17" t="str">
        <f>'Raw Data'!A13</f>
        <v>Orissa</v>
      </c>
      <c r="B13" s="18">
        <f>SUM('Raw Data'!B13:Z13)</f>
        <v>18824</v>
      </c>
      <c r="C13" s="18">
        <f>ROUND(AVERAGE('Raw Data'!B13:Z13),0)</f>
        <v>753</v>
      </c>
      <c r="D13" s="18">
        <f>MAX('Raw Data'!B13:Z13)</f>
        <v>4883</v>
      </c>
      <c r="E13" s="18">
        <f>MIN(IF('Raw Data'!B13:Z13&gt;0,'Raw Data'!B13:Z13))</f>
        <v>0</v>
      </c>
      <c r="F13" s="18">
        <f>'Raw Data'!B13</f>
        <v>0</v>
      </c>
      <c r="G13" s="18">
        <f>'Raw Data'!Z13</f>
        <v>4883</v>
      </c>
      <c r="H13" s="23" t="str">
        <f t="shared" si="0"/>
        <v>N/A</v>
      </c>
    </row>
    <row r="14" spans="1:8" ht="14.25" customHeight="1" x14ac:dyDescent="0.3">
      <c r="A14" s="19" t="str">
        <f>'Raw Data'!A14</f>
        <v>LAKSHADWEEP</v>
      </c>
      <c r="B14" s="20">
        <f>SUM('Raw Data'!B14:Z14)</f>
        <v>757</v>
      </c>
      <c r="C14" s="20">
        <f>ROUND(AVERAGE('Raw Data'!B14:Z14),0)</f>
        <v>30</v>
      </c>
      <c r="D14" s="20">
        <f>MAX('Raw Data'!B14:Z14)</f>
        <v>185</v>
      </c>
      <c r="E14" s="20">
        <f>MIN(IF('Raw Data'!B14:Z14&gt;0,'Raw Data'!B14:Z14))</f>
        <v>0</v>
      </c>
      <c r="F14" s="20">
        <f>'Raw Data'!B14</f>
        <v>0</v>
      </c>
      <c r="G14" s="20">
        <f>'Raw Data'!Z14</f>
        <v>173</v>
      </c>
      <c r="H14" s="24" t="str">
        <f t="shared" si="0"/>
        <v>N/A</v>
      </c>
    </row>
  </sheetData>
  <mergeCells count="1">
    <mergeCell ref="A1:H1"/>
  </mergeCells>
  <conditionalFormatting sqref="H3:H14">
    <cfRule type="colorScale" priority="2">
      <colorScale>
        <cfvo type="min"/>
        <cfvo type="max"/>
        <color rgb="FFFF0000"/>
        <color rgb="FF63BE7B"/>
      </colorScale>
    </cfRule>
  </conditionalFormatting>
  <conditionalFormatting sqref="B3:B14">
    <cfRule type="dataBar" priority="3">
      <dataBar>
        <cfvo type="min"/>
        <cfvo type="max"/>
        <color rgb="FF2E75B6"/>
      </dataBar>
      <extLst>
        <ext xmlns:x14="http://schemas.microsoft.com/office/spreadsheetml/2009/9/main" uri="{B025F937-C7B1-47D3-B67F-A62EFF666E3E}">
          <x14:id>{CD8FE121-2DFC-495B-82E3-7D4ABB9E2AEC}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8FE121-2DFC-495B-82E3-7D4ABB9E2AEC}">
            <x14:dataBar axisPosition="none">
              <x14:cfvo type="min"/>
              <x14:cfvo type="max"/>
              <x14:negativeFillColor rgb="FF2E75B6"/>
            </x14:dataBar>
          </x14:cfRule>
          <xm:sqref>B3:B14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28"/>
  <sheetViews>
    <sheetView showGridLines="0" topLeftCell="A14" zoomScaleNormal="100" workbookViewId="0">
      <selection activeCell="F5" sqref="F5"/>
    </sheetView>
  </sheetViews>
  <sheetFormatPr defaultColWidth="8.6640625" defaultRowHeight="14.4" x14ac:dyDescent="0.3"/>
  <cols>
    <col min="1" max="1" width="8" style="15" customWidth="1"/>
    <col min="2" max="2" width="28" style="15" customWidth="1"/>
    <col min="3" max="3" width="20" style="15" customWidth="1"/>
    <col min="5" max="5" width="10" style="15" customWidth="1"/>
    <col min="6" max="6" width="20" style="15" customWidth="1"/>
  </cols>
  <sheetData>
    <row r="1" spans="1:6" ht="27.75" customHeight="1" x14ac:dyDescent="0.3">
      <c r="A1" s="13" t="s">
        <v>47</v>
      </c>
      <c r="B1" s="13"/>
      <c r="C1" s="13"/>
    </row>
    <row r="2" spans="1:6" ht="26.25" customHeight="1" x14ac:dyDescent="0.3">
      <c r="A2" s="12" t="s">
        <v>48</v>
      </c>
      <c r="B2" s="12"/>
      <c r="C2" s="12"/>
      <c r="E2" s="12" t="s">
        <v>49</v>
      </c>
      <c r="F2" s="12"/>
    </row>
    <row r="3" spans="1:6" ht="14.25" customHeight="1" x14ac:dyDescent="0.3">
      <c r="A3" s="16" t="s">
        <v>50</v>
      </c>
      <c r="B3" s="16" t="s">
        <v>41</v>
      </c>
      <c r="C3" s="16" t="s">
        <v>51</v>
      </c>
      <c r="E3" s="16" t="s">
        <v>52</v>
      </c>
      <c r="F3" s="16" t="s">
        <v>51</v>
      </c>
    </row>
    <row r="4" spans="1:6" ht="14.25" customHeight="1" x14ac:dyDescent="0.3">
      <c r="A4" s="25">
        <v>1</v>
      </c>
      <c r="B4" s="25" t="str">
        <f>Analysis!A3</f>
        <v>GUJARAT</v>
      </c>
      <c r="C4" s="18">
        <f>Analysis!B3</f>
        <v>36638</v>
      </c>
      <c r="E4" s="25">
        <v>2001</v>
      </c>
      <c r="F4" s="18">
        <f>'Raw Data'!B15</f>
        <v>4010</v>
      </c>
    </row>
    <row r="5" spans="1:6" ht="14.25" customHeight="1" x14ac:dyDescent="0.3">
      <c r="A5" s="26">
        <v>2</v>
      </c>
      <c r="B5" s="26" t="str">
        <f>Analysis!A4</f>
        <v>MAHARASHTRA</v>
      </c>
      <c r="C5" s="20">
        <f>Analysis!B4</f>
        <v>3395</v>
      </c>
      <c r="E5" s="26">
        <v>2002</v>
      </c>
      <c r="F5" s="20">
        <f>'Raw Data'!C15</f>
        <v>4010</v>
      </c>
    </row>
    <row r="6" spans="1:6" ht="14.25" customHeight="1" x14ac:dyDescent="0.3">
      <c r="A6" s="25">
        <v>3</v>
      </c>
      <c r="B6" s="25" t="str">
        <f>Analysis!A5</f>
        <v>GOA</v>
      </c>
      <c r="C6" s="18">
        <f>Analysis!B5</f>
        <v>3639</v>
      </c>
      <c r="E6" s="25">
        <v>2003</v>
      </c>
      <c r="F6" s="18">
        <f>'Raw Data'!D15</f>
        <v>4213</v>
      </c>
    </row>
    <row r="7" spans="1:6" ht="14.25" customHeight="1" x14ac:dyDescent="0.3">
      <c r="A7" s="26">
        <v>4</v>
      </c>
      <c r="B7" s="26" t="str">
        <f>Analysis!A6</f>
        <v>DAMAN &amp; DIU</v>
      </c>
      <c r="C7" s="20">
        <f>Analysis!B6</f>
        <v>350</v>
      </c>
      <c r="E7" s="26">
        <v>2004</v>
      </c>
      <c r="F7" s="20">
        <f>'Raw Data'!E15</f>
        <v>3391</v>
      </c>
    </row>
    <row r="8" spans="1:6" ht="14.25" customHeight="1" x14ac:dyDescent="0.3">
      <c r="A8" s="25">
        <v>5</v>
      </c>
      <c r="B8" s="25" t="str">
        <f>Analysis!A7</f>
        <v>KARNATAKA</v>
      </c>
      <c r="C8" s="18">
        <f>Analysis!B7</f>
        <v>1999</v>
      </c>
      <c r="E8" s="25">
        <v>2005</v>
      </c>
      <c r="F8" s="18">
        <f>'Raw Data'!F15</f>
        <v>3055</v>
      </c>
    </row>
    <row r="9" spans="1:6" ht="14.25" customHeight="1" x14ac:dyDescent="0.3">
      <c r="A9" s="26">
        <v>6</v>
      </c>
      <c r="B9" s="26" t="str">
        <f>Analysis!A8</f>
        <v>KERALA</v>
      </c>
      <c r="C9" s="20">
        <f>Analysis!B8</f>
        <v>6640</v>
      </c>
      <c r="E9" s="26">
        <v>2006</v>
      </c>
      <c r="F9" s="20">
        <f>'Raw Data'!G15</f>
        <v>2457</v>
      </c>
    </row>
    <row r="10" spans="1:6" ht="14.25" customHeight="1" x14ac:dyDescent="0.3">
      <c r="A10" s="25">
        <v>7</v>
      </c>
      <c r="B10" s="25" t="str">
        <f>Analysis!A9</f>
        <v>TAMIL NADU</v>
      </c>
      <c r="C10" s="18">
        <f>Analysis!B9</f>
        <v>1348</v>
      </c>
      <c r="E10" s="25">
        <v>2007</v>
      </c>
      <c r="F10" s="18">
        <f>'Raw Data'!H15</f>
        <v>2954</v>
      </c>
    </row>
    <row r="11" spans="1:6" ht="14.25" customHeight="1" x14ac:dyDescent="0.3">
      <c r="A11" s="26">
        <v>8</v>
      </c>
      <c r="B11" s="26" t="str">
        <f>Analysis!A10</f>
        <v>PUDUCHERRY</v>
      </c>
      <c r="C11" s="20">
        <f>Analysis!B10</f>
        <v>4273</v>
      </c>
      <c r="E11" s="26">
        <v>2008</v>
      </c>
      <c r="F11" s="20">
        <f>'Raw Data'!I15</f>
        <v>3019</v>
      </c>
    </row>
    <row r="12" spans="1:6" ht="14.25" customHeight="1" x14ac:dyDescent="0.3">
      <c r="A12" s="25">
        <v>9</v>
      </c>
      <c r="B12" s="25" t="str">
        <f>Analysis!A11</f>
        <v>ANDHRA PRADESH</v>
      </c>
      <c r="C12" s="18">
        <f>Analysis!B11</f>
        <v>50644</v>
      </c>
      <c r="E12" s="25">
        <v>2009</v>
      </c>
      <c r="F12" s="18">
        <f>'Raw Data'!J15</f>
        <v>3223</v>
      </c>
    </row>
    <row r="13" spans="1:6" ht="14.25" customHeight="1" x14ac:dyDescent="0.3">
      <c r="A13" s="26">
        <v>10</v>
      </c>
      <c r="B13" s="26" t="str">
        <f>Analysis!A12</f>
        <v>ANDAMAN &amp; NICOBAR Island</v>
      </c>
      <c r="C13" s="20">
        <f>Analysis!B12</f>
        <v>11673</v>
      </c>
      <c r="E13" s="26">
        <v>2010</v>
      </c>
      <c r="F13" s="20">
        <f>'Raw Data'!K15</f>
        <v>3116</v>
      </c>
    </row>
    <row r="14" spans="1:6" ht="14.25" customHeight="1" x14ac:dyDescent="0.3">
      <c r="A14" s="25">
        <v>11</v>
      </c>
      <c r="B14" s="25" t="str">
        <f>Analysis!A13</f>
        <v>Orissa</v>
      </c>
      <c r="C14" s="18">
        <f>Analysis!B13</f>
        <v>18824</v>
      </c>
      <c r="E14" s="25">
        <v>2011</v>
      </c>
      <c r="F14" s="18">
        <f>'Raw Data'!L15</f>
        <v>2520</v>
      </c>
    </row>
    <row r="15" spans="1:6" ht="14.25" customHeight="1" x14ac:dyDescent="0.3">
      <c r="A15" s="26">
        <v>12</v>
      </c>
      <c r="B15" s="26" t="str">
        <f>Analysis!A14</f>
        <v>LAKSHADWEEP</v>
      </c>
      <c r="C15" s="20">
        <f>Analysis!B14</f>
        <v>757</v>
      </c>
      <c r="E15" s="26">
        <v>2012</v>
      </c>
      <c r="F15" s="20">
        <f>'Raw Data'!M15</f>
        <v>4156</v>
      </c>
    </row>
    <row r="16" spans="1:6" ht="14.25" customHeight="1" x14ac:dyDescent="0.3">
      <c r="A16" s="27"/>
      <c r="B16" s="27" t="s">
        <v>53</v>
      </c>
      <c r="C16" s="22">
        <f>SUM(C4:C15)</f>
        <v>140180</v>
      </c>
      <c r="E16" s="25">
        <v>2013</v>
      </c>
      <c r="F16" s="18">
        <f>'Raw Data'!N15</f>
        <v>5097</v>
      </c>
    </row>
    <row r="17" spans="5:6" ht="14.25" customHeight="1" x14ac:dyDescent="0.3">
      <c r="E17" s="26">
        <v>2014</v>
      </c>
      <c r="F17" s="20">
        <f>'Raw Data'!O15</f>
        <v>6027</v>
      </c>
    </row>
    <row r="18" spans="5:6" ht="14.25" customHeight="1" x14ac:dyDescent="0.3">
      <c r="E18" s="25">
        <v>2015</v>
      </c>
      <c r="F18" s="18">
        <f>'Raw Data'!P15</f>
        <v>4673</v>
      </c>
    </row>
    <row r="19" spans="5:6" ht="14.25" customHeight="1" x14ac:dyDescent="0.3">
      <c r="E19" s="26">
        <v>2016</v>
      </c>
      <c r="F19" s="20">
        <f>'Raw Data'!Q15</f>
        <v>4468</v>
      </c>
    </row>
    <row r="20" spans="5:6" ht="14.25" customHeight="1" x14ac:dyDescent="0.3">
      <c r="E20" s="25">
        <v>2017</v>
      </c>
      <c r="F20" s="18">
        <f>'Raw Data'!R15</f>
        <v>5284</v>
      </c>
    </row>
    <row r="21" spans="5:6" ht="14.25" customHeight="1" x14ac:dyDescent="0.3">
      <c r="E21" s="26">
        <v>2018</v>
      </c>
      <c r="F21" s="20">
        <f>'Raw Data'!S15</f>
        <v>5124</v>
      </c>
    </row>
    <row r="22" spans="5:6" ht="14.25" customHeight="1" x14ac:dyDescent="0.3">
      <c r="E22" s="25">
        <v>2019</v>
      </c>
      <c r="F22" s="18">
        <f>'Raw Data'!T15</f>
        <v>5108</v>
      </c>
    </row>
    <row r="23" spans="5:6" ht="14.25" customHeight="1" x14ac:dyDescent="0.3">
      <c r="E23" s="26">
        <v>2020</v>
      </c>
      <c r="F23" s="20">
        <f>'Raw Data'!U15</f>
        <v>5232</v>
      </c>
    </row>
    <row r="24" spans="5:6" ht="14.25" customHeight="1" x14ac:dyDescent="0.3">
      <c r="E24" s="25">
        <v>2021</v>
      </c>
      <c r="F24" s="18">
        <f>'Raw Data'!V15</f>
        <v>9945</v>
      </c>
    </row>
    <row r="25" spans="5:6" ht="14.25" customHeight="1" x14ac:dyDescent="0.3">
      <c r="E25" s="26">
        <v>2022</v>
      </c>
      <c r="F25" s="20">
        <f>'Raw Data'!W15</f>
        <v>9598</v>
      </c>
    </row>
    <row r="26" spans="5:6" ht="14.25" customHeight="1" x14ac:dyDescent="0.3">
      <c r="E26" s="25">
        <v>2023</v>
      </c>
      <c r="F26" s="18">
        <f>'Raw Data'!X15</f>
        <v>14219</v>
      </c>
    </row>
    <row r="27" spans="5:6" ht="14.25" customHeight="1" x14ac:dyDescent="0.3">
      <c r="E27" s="26">
        <v>2024</v>
      </c>
      <c r="F27" s="20">
        <f>'Raw Data'!Y15</f>
        <v>13381</v>
      </c>
    </row>
    <row r="28" spans="5:6" ht="14.25" customHeight="1" x14ac:dyDescent="0.3">
      <c r="E28" s="25">
        <v>2025</v>
      </c>
      <c r="F28" s="18">
        <f>'Raw Data'!Z15</f>
        <v>11900</v>
      </c>
    </row>
  </sheetData>
  <mergeCells count="3">
    <mergeCell ref="A1:C1"/>
    <mergeCell ref="A2:C2"/>
    <mergeCell ref="E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T60"/>
  <sheetViews>
    <sheetView showGridLines="0" zoomScale="90" zoomScaleNormal="90" workbookViewId="0">
      <selection activeCell="A32" sqref="A32:R32"/>
    </sheetView>
  </sheetViews>
  <sheetFormatPr defaultColWidth="8.6640625" defaultRowHeight="14.4" x14ac:dyDescent="0.3"/>
  <cols>
    <col min="1" max="18" width="9" style="15" customWidth="1"/>
  </cols>
  <sheetData>
    <row r="1" spans="1:20" ht="30" customHeight="1" x14ac:dyDescent="0.3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28"/>
      <c r="T1" s="28"/>
    </row>
    <row r="2" spans="1:20" ht="7.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28"/>
      <c r="T2" s="28"/>
    </row>
    <row r="3" spans="1:20" ht="14.25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18" customHeight="1" x14ac:dyDescent="0.3">
      <c r="A4" s="10" t="s">
        <v>55</v>
      </c>
      <c r="B4" s="10"/>
      <c r="C4" s="10"/>
      <c r="D4" s="28"/>
      <c r="E4" s="9" t="s">
        <v>56</v>
      </c>
      <c r="F4" s="9"/>
      <c r="G4" s="9"/>
      <c r="H4" s="28"/>
      <c r="I4" s="10" t="s">
        <v>57</v>
      </c>
      <c r="J4" s="10"/>
      <c r="K4" s="10"/>
      <c r="L4" s="28"/>
      <c r="M4" s="8" t="s">
        <v>58</v>
      </c>
      <c r="N4" s="8"/>
      <c r="O4" s="8"/>
      <c r="P4" s="28"/>
      <c r="Q4" s="28"/>
      <c r="R4" s="28"/>
      <c r="S4" s="28"/>
      <c r="T4" s="28"/>
    </row>
    <row r="5" spans="1:20" ht="25.5" customHeight="1" x14ac:dyDescent="0.3">
      <c r="A5" s="7">
        <f>'Raw Data'!Z15</f>
        <v>11900</v>
      </c>
      <c r="B5" s="7"/>
      <c r="C5" s="7"/>
      <c r="D5" s="28"/>
      <c r="E5" s="6">
        <f>'Raw Data'!B15</f>
        <v>4010</v>
      </c>
      <c r="F5" s="6"/>
      <c r="G5" s="6"/>
      <c r="H5" s="28"/>
      <c r="I5" s="5" t="str">
        <f>INDEX('Raw Data'!A3:A14,MATCH(MAX('Raw Data'!Z3:Z14),'Raw Data'!Z3:Z14,0))</f>
        <v>ANDHRA PRADESH</v>
      </c>
      <c r="J5" s="5"/>
      <c r="K5" s="5"/>
      <c r="L5" s="28"/>
      <c r="M5" s="4">
        <f>12</f>
        <v>12</v>
      </c>
      <c r="N5" s="4"/>
      <c r="O5" s="4"/>
      <c r="P5" s="28"/>
      <c r="Q5" s="28"/>
      <c r="R5" s="28"/>
      <c r="S5" s="28"/>
      <c r="T5" s="28"/>
    </row>
    <row r="6" spans="1:20" ht="14.25" customHeight="1" x14ac:dyDescent="0.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ht="14.25" customHeight="1" x14ac:dyDescent="0.3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ht="14.2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ht="14.25" customHeight="1" x14ac:dyDescent="0.3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ht="14.2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ht="14.2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ht="14.2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ht="14.2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ht="14.2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ht="14.2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ht="14.2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ht="14.2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ht="14.2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ht="14.2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ht="14.2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ht="14.2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ht="14.2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ht="14.2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4.2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ht="14.2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ht="14.2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ht="14.25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ht="14.25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ht="14.25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ht="14.25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ht="14.2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ht="15" customHeight="1" x14ac:dyDescent="0.3">
      <c r="A32" s="3" t="s">
        <v>59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8"/>
      <c r="T32" s="28"/>
    </row>
    <row r="33" spans="1:20" ht="14.25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ht="14.25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ht="14.25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ht="14.25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ht="14.25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ht="14.25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ht="14.25" customHeight="1" x14ac:dyDescent="0.3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ht="14.25" customHeight="1" x14ac:dyDescent="0.3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ht="14.25" customHeight="1" x14ac:dyDescent="0.3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ht="14.25" customHeight="1" x14ac:dyDescent="0.3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ht="14.25" customHeight="1" x14ac:dyDescent="0.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ht="14.25" customHeight="1" x14ac:dyDescent="0.3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ht="14.25" customHeight="1" x14ac:dyDescent="0.3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ht="14.25" customHeight="1" x14ac:dyDescent="0.3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ht="14.25" customHeight="1" x14ac:dyDescent="0.3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ht="14.25" customHeight="1" x14ac:dyDescent="0.3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ht="14.25" customHeight="1" x14ac:dyDescent="0.3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ht="14.25" customHeight="1" x14ac:dyDescent="0.3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ht="14.25" customHeight="1" x14ac:dyDescent="0.3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1:20" ht="14.25" customHeight="1" x14ac:dyDescent="0.3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1:20" ht="14.25" customHeight="1" x14ac:dyDescent="0.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1:20" ht="14.25" customHeight="1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1:20" ht="14.25" customHeight="1" x14ac:dyDescent="0.3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1:20" ht="14.25" customHeight="1" x14ac:dyDescent="0.3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1:20" ht="14.25" customHeight="1" x14ac:dyDescent="0.3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1:20" ht="14.25" customHeight="1" x14ac:dyDescent="0.3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1:20" ht="14.25" customHeight="1" x14ac:dyDescent="0.3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1:20" ht="14.25" customHeight="1" x14ac:dyDescent="0.3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</sheetData>
  <mergeCells count="10">
    <mergeCell ref="A5:C5"/>
    <mergeCell ref="E5:G5"/>
    <mergeCell ref="I5:K5"/>
    <mergeCell ref="M5:O5"/>
    <mergeCell ref="A32:R32"/>
    <mergeCell ref="A1:R2"/>
    <mergeCell ref="A4:C4"/>
    <mergeCell ref="E4:G4"/>
    <mergeCell ref="I4:K4"/>
    <mergeCell ref="M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V144"/>
  <sheetViews>
    <sheetView showGridLines="0" topLeftCell="A28" zoomScaleNormal="100" workbookViewId="0">
      <selection activeCell="H108" sqref="H108"/>
    </sheetView>
  </sheetViews>
  <sheetFormatPr defaultColWidth="8.88671875" defaultRowHeight="14.4" x14ac:dyDescent="0.3"/>
  <cols>
    <col min="1" max="1" width="16.21875" bestFit="1" customWidth="1"/>
    <col min="2" max="2" width="5" bestFit="1" customWidth="1"/>
    <col min="4" max="4" width="5" bestFit="1" customWidth="1"/>
    <col min="5" max="5" width="13.77734375" bestFit="1" customWidth="1"/>
    <col min="6" max="6" width="6.5546875" bestFit="1" customWidth="1"/>
    <col min="7" max="7" width="7" bestFit="1" customWidth="1"/>
  </cols>
  <sheetData>
    <row r="1" spans="1:22" ht="31.5" customHeight="1" x14ac:dyDescent="0.3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21.75" customHeight="1" x14ac:dyDescent="0.3">
      <c r="A3" s="1" t="s">
        <v>61</v>
      </c>
      <c r="B3" s="1"/>
      <c r="C3" s="1"/>
      <c r="D3" s="1"/>
      <c r="E3" s="1"/>
      <c r="F3" s="1"/>
      <c r="G3" s="1"/>
      <c r="H3" s="1"/>
      <c r="I3" s="1"/>
      <c r="J3" s="1"/>
      <c r="K3" s="29"/>
      <c r="L3" s="48" t="s">
        <v>62</v>
      </c>
      <c r="M3" s="48"/>
      <c r="N3" s="48"/>
      <c r="O3" s="48"/>
      <c r="P3" s="48"/>
      <c r="Q3" s="48"/>
      <c r="R3" s="48"/>
      <c r="S3" s="48"/>
      <c r="T3" s="48"/>
      <c r="U3" s="48"/>
      <c r="V3" s="48"/>
    </row>
    <row r="4" spans="1:22" ht="15.75" customHeight="1" x14ac:dyDescent="0.3">
      <c r="A4" s="49" t="s">
        <v>63</v>
      </c>
      <c r="B4" s="49"/>
      <c r="C4" s="49"/>
      <c r="D4" s="49"/>
      <c r="E4" s="49"/>
      <c r="F4" s="49"/>
      <c r="G4" s="49"/>
      <c r="H4" s="49"/>
      <c r="I4" s="49"/>
      <c r="J4" s="49"/>
      <c r="K4" s="29"/>
      <c r="L4" s="49" t="s">
        <v>64</v>
      </c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spans="1:22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3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22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2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x14ac:dyDescent="0.3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3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x14ac:dyDescent="0.3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x14ac:dyDescent="0.3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3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 x14ac:dyDescent="0.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3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ht="21.75" customHeight="1" x14ac:dyDescent="0.3">
      <c r="A28" s="50" t="s">
        <v>65</v>
      </c>
      <c r="B28" s="50"/>
      <c r="C28" s="50"/>
      <c r="D28" s="50"/>
      <c r="E28" s="50"/>
      <c r="F28" s="50"/>
      <c r="G28" s="50"/>
      <c r="H28" s="50"/>
      <c r="I28" s="50"/>
      <c r="J28" s="50"/>
      <c r="K28" s="29"/>
      <c r="L28" s="51" t="s">
        <v>66</v>
      </c>
      <c r="M28" s="51"/>
      <c r="N28" s="51"/>
      <c r="O28" s="51"/>
      <c r="P28" s="51"/>
      <c r="Q28" s="51"/>
      <c r="R28" s="51"/>
      <c r="S28" s="51"/>
      <c r="T28" s="51"/>
      <c r="U28" s="51"/>
      <c r="V28" s="51"/>
    </row>
    <row r="29" spans="1:22" ht="15.75" customHeight="1" x14ac:dyDescent="0.3">
      <c r="A29" s="49" t="s">
        <v>67</v>
      </c>
      <c r="B29" s="49"/>
      <c r="C29" s="49"/>
      <c r="D29" s="49"/>
      <c r="E29" s="49"/>
      <c r="F29" s="49"/>
      <c r="G29" s="49"/>
      <c r="H29" s="49"/>
      <c r="I29" s="49"/>
      <c r="J29" s="49"/>
      <c r="K29" s="29"/>
      <c r="L29" s="49" t="s">
        <v>68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</row>
    <row r="30" spans="1:22" x14ac:dyDescent="0.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x14ac:dyDescent="0.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1:22" x14ac:dyDescent="0.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x14ac:dyDescent="0.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2" x14ac:dyDescent="0.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2" x14ac:dyDescent="0.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2" x14ac:dyDescent="0.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2" x14ac:dyDescent="0.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x14ac:dyDescent="0.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x14ac:dyDescent="0.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spans="1:22" x14ac:dyDescent="0.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2" x14ac:dyDescent="0.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spans="1:22" x14ac:dyDescent="0.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x14ac:dyDescent="0.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2" x14ac:dyDescent="0.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2" x14ac:dyDescent="0.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2" x14ac:dyDescent="0.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1:22" x14ac:dyDescent="0.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2" x14ac:dyDescent="0.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2" x14ac:dyDescent="0.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2" x14ac:dyDescent="0.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2" x14ac:dyDescent="0.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 x14ac:dyDescent="0.3">
      <c r="A56" s="52" t="s">
        <v>69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</row>
    <row r="57" spans="1:22" x14ac:dyDescent="0.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x14ac:dyDescent="0.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x14ac:dyDescent="0.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x14ac:dyDescent="0.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x14ac:dyDescent="0.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x14ac:dyDescent="0.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x14ac:dyDescent="0.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x14ac:dyDescent="0.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x14ac:dyDescent="0.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x14ac:dyDescent="0.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2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x14ac:dyDescent="0.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x14ac:dyDescent="0.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1:22" x14ac:dyDescent="0.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x14ac:dyDescent="0.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x14ac:dyDescent="0.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1:22" x14ac:dyDescent="0.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1:22" x14ac:dyDescent="0.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x14ac:dyDescent="0.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x14ac:dyDescent="0.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2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1:22" x14ac:dyDescent="0.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 x14ac:dyDescent="0.3">
      <c r="A80" s="29" t="s">
        <v>27</v>
      </c>
      <c r="B80" s="29">
        <v>523</v>
      </c>
      <c r="C80" s="29"/>
      <c r="D80" s="29">
        <v>2001</v>
      </c>
      <c r="E80" s="29">
        <v>4010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1:22" x14ac:dyDescent="0.3">
      <c r="A81" s="29" t="s">
        <v>28</v>
      </c>
      <c r="B81" s="29">
        <v>100</v>
      </c>
      <c r="C81" s="29"/>
      <c r="D81" s="29">
        <v>2002</v>
      </c>
      <c r="E81" s="29">
        <v>4010</v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x14ac:dyDescent="0.3">
      <c r="A82" s="29" t="s">
        <v>29</v>
      </c>
      <c r="B82" s="29">
        <v>152</v>
      </c>
      <c r="C82" s="29"/>
      <c r="D82" s="29">
        <v>2003</v>
      </c>
      <c r="E82" s="29">
        <v>4213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1:22" x14ac:dyDescent="0.3">
      <c r="A83" s="29" t="s">
        <v>30</v>
      </c>
      <c r="B83" s="29">
        <v>3</v>
      </c>
      <c r="C83" s="29"/>
      <c r="D83" s="29">
        <v>2004</v>
      </c>
      <c r="E83" s="29">
        <v>3391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1:22" x14ac:dyDescent="0.3">
      <c r="A84" s="29" t="s">
        <v>31</v>
      </c>
      <c r="B84" s="29">
        <v>45</v>
      </c>
      <c r="C84" s="29"/>
      <c r="D84" s="29">
        <v>2005</v>
      </c>
      <c r="E84" s="29">
        <v>3055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1:22" x14ac:dyDescent="0.3">
      <c r="A85" s="29" t="s">
        <v>32</v>
      </c>
      <c r="B85" s="29">
        <v>238</v>
      </c>
      <c r="C85" s="29"/>
      <c r="D85" s="29">
        <v>2006</v>
      </c>
      <c r="E85" s="29">
        <v>2457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1:22" x14ac:dyDescent="0.3">
      <c r="A86" s="29" t="s">
        <v>33</v>
      </c>
      <c r="B86" s="29">
        <v>22</v>
      </c>
      <c r="C86" s="29"/>
      <c r="D86" s="29">
        <v>2007</v>
      </c>
      <c r="E86" s="29">
        <v>2954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1:22" x14ac:dyDescent="0.3">
      <c r="A87" s="29" t="s">
        <v>34</v>
      </c>
      <c r="B87" s="29">
        <v>87</v>
      </c>
      <c r="C87" s="29"/>
      <c r="D87" s="29">
        <v>2008</v>
      </c>
      <c r="E87" s="29">
        <v>3019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1:22" x14ac:dyDescent="0.3">
      <c r="A88" s="29" t="s">
        <v>35</v>
      </c>
      <c r="B88" s="29">
        <v>5439</v>
      </c>
      <c r="C88" s="29"/>
      <c r="D88" s="29">
        <v>2009</v>
      </c>
      <c r="E88" s="29">
        <v>3223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1:22" x14ac:dyDescent="0.3">
      <c r="A89" s="29" t="s">
        <v>70</v>
      </c>
      <c r="B89" s="29">
        <v>235</v>
      </c>
      <c r="C89" s="29"/>
      <c r="D89" s="29">
        <v>2010</v>
      </c>
      <c r="E89" s="29">
        <v>3116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1:22" x14ac:dyDescent="0.3">
      <c r="A90" s="29" t="s">
        <v>71</v>
      </c>
      <c r="B90" s="29">
        <v>4883</v>
      </c>
      <c r="C90" s="29"/>
      <c r="D90" s="29">
        <v>2011</v>
      </c>
      <c r="E90" s="29">
        <v>2520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1:22" x14ac:dyDescent="0.3">
      <c r="A91" s="29" t="s">
        <v>38</v>
      </c>
      <c r="B91" s="29">
        <v>173</v>
      </c>
      <c r="C91" s="29"/>
      <c r="D91" s="29">
        <v>2012</v>
      </c>
      <c r="E91" s="29">
        <v>4156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x14ac:dyDescent="0.3">
      <c r="A92" s="29"/>
      <c r="B92" s="29"/>
      <c r="C92" s="29"/>
      <c r="D92" s="29">
        <v>2013</v>
      </c>
      <c r="E92" s="29">
        <v>5097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1:22" x14ac:dyDescent="0.3">
      <c r="A93" s="29"/>
      <c r="B93" s="29"/>
      <c r="C93" s="29"/>
      <c r="D93" s="29">
        <v>2014</v>
      </c>
      <c r="E93" s="29">
        <v>6027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1:22" x14ac:dyDescent="0.3">
      <c r="A94" s="29"/>
      <c r="B94" s="29"/>
      <c r="C94" s="29"/>
      <c r="D94" s="29">
        <v>2015</v>
      </c>
      <c r="E94" s="29">
        <v>4673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1:22" x14ac:dyDescent="0.3">
      <c r="A95" s="29"/>
      <c r="B95" s="29"/>
      <c r="C95" s="29"/>
      <c r="D95" s="29">
        <v>2016</v>
      </c>
      <c r="E95" s="29">
        <v>4468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1:22" x14ac:dyDescent="0.3">
      <c r="A96" s="29"/>
      <c r="B96" s="29"/>
      <c r="C96" s="29"/>
      <c r="D96" s="29">
        <v>2017</v>
      </c>
      <c r="E96" s="29">
        <v>5284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1:22" x14ac:dyDescent="0.3">
      <c r="A97" s="29"/>
      <c r="B97" s="29"/>
      <c r="C97" s="29"/>
      <c r="D97" s="29">
        <v>2018</v>
      </c>
      <c r="E97" s="29">
        <v>5124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x14ac:dyDescent="0.3">
      <c r="A98" s="29"/>
      <c r="B98" s="29"/>
      <c r="C98" s="29"/>
      <c r="D98" s="29">
        <v>2019</v>
      </c>
      <c r="E98" s="29">
        <v>5108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1:22" x14ac:dyDescent="0.3">
      <c r="A99" s="29"/>
      <c r="B99" s="29"/>
      <c r="C99" s="29"/>
      <c r="D99" s="29">
        <v>2020</v>
      </c>
      <c r="E99" s="29">
        <v>5232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x14ac:dyDescent="0.3">
      <c r="A100" s="29"/>
      <c r="B100" s="29"/>
      <c r="C100" s="29"/>
      <c r="D100" s="29">
        <v>2021</v>
      </c>
      <c r="E100" s="29">
        <v>9945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x14ac:dyDescent="0.3">
      <c r="D101">
        <v>2022</v>
      </c>
      <c r="E101">
        <v>9598</v>
      </c>
    </row>
    <row r="102" spans="1:22" x14ac:dyDescent="0.3">
      <c r="D102">
        <v>2023</v>
      </c>
      <c r="E102">
        <v>14219</v>
      </c>
    </row>
    <row r="103" spans="1:22" x14ac:dyDescent="0.3">
      <c r="D103">
        <v>2024</v>
      </c>
      <c r="E103">
        <v>13381</v>
      </c>
    </row>
    <row r="104" spans="1:22" x14ac:dyDescent="0.3">
      <c r="D104">
        <v>2025</v>
      </c>
      <c r="E104">
        <v>11900</v>
      </c>
    </row>
    <row r="108" spans="1:22" x14ac:dyDescent="0.3">
      <c r="A108" t="s">
        <v>35</v>
      </c>
      <c r="B108">
        <v>5439</v>
      </c>
    </row>
    <row r="109" spans="1:22" x14ac:dyDescent="0.3">
      <c r="A109" t="s">
        <v>71</v>
      </c>
      <c r="B109">
        <v>4883</v>
      </c>
    </row>
    <row r="110" spans="1:22" x14ac:dyDescent="0.3">
      <c r="A110" t="s">
        <v>27</v>
      </c>
      <c r="B110">
        <v>523</v>
      </c>
    </row>
    <row r="111" spans="1:22" x14ac:dyDescent="0.3">
      <c r="A111" t="s">
        <v>32</v>
      </c>
      <c r="B111">
        <v>238</v>
      </c>
    </row>
    <row r="112" spans="1:22" x14ac:dyDescent="0.3">
      <c r="A112" t="s">
        <v>70</v>
      </c>
      <c r="B112">
        <v>235</v>
      </c>
    </row>
    <row r="113" spans="1:7" x14ac:dyDescent="0.3">
      <c r="A113" t="s">
        <v>29</v>
      </c>
      <c r="B113">
        <v>152</v>
      </c>
    </row>
    <row r="114" spans="1:7" x14ac:dyDescent="0.3">
      <c r="A114" t="s">
        <v>38</v>
      </c>
      <c r="B114">
        <v>173</v>
      </c>
    </row>
    <row r="115" spans="1:7" x14ac:dyDescent="0.3">
      <c r="A115" t="s">
        <v>72</v>
      </c>
      <c r="B115">
        <v>257</v>
      </c>
    </row>
    <row r="119" spans="1:7" x14ac:dyDescent="0.3">
      <c r="E119" t="s">
        <v>73</v>
      </c>
      <c r="F119" t="s">
        <v>74</v>
      </c>
      <c r="G119" t="s">
        <v>75</v>
      </c>
    </row>
    <row r="120" spans="1:7" x14ac:dyDescent="0.3">
      <c r="D120">
        <v>2001</v>
      </c>
      <c r="E120">
        <v>107</v>
      </c>
      <c r="F120">
        <v>0</v>
      </c>
      <c r="G120">
        <v>2441</v>
      </c>
    </row>
    <row r="121" spans="1:7" x14ac:dyDescent="0.3">
      <c r="D121">
        <v>2002</v>
      </c>
      <c r="E121">
        <v>142</v>
      </c>
      <c r="F121">
        <v>0</v>
      </c>
      <c r="G121">
        <v>2441</v>
      </c>
    </row>
    <row r="122" spans="1:7" x14ac:dyDescent="0.3">
      <c r="D122">
        <v>2003</v>
      </c>
      <c r="E122">
        <v>195</v>
      </c>
      <c r="F122">
        <v>0</v>
      </c>
      <c r="G122">
        <v>2303</v>
      </c>
    </row>
    <row r="123" spans="1:7" x14ac:dyDescent="0.3">
      <c r="D123">
        <v>2004</v>
      </c>
      <c r="E123">
        <v>200</v>
      </c>
      <c r="F123">
        <v>0</v>
      </c>
      <c r="G123">
        <v>1803</v>
      </c>
    </row>
    <row r="124" spans="1:7" x14ac:dyDescent="0.3">
      <c r="D124">
        <v>2005</v>
      </c>
      <c r="E124">
        <v>252</v>
      </c>
      <c r="F124">
        <v>0</v>
      </c>
      <c r="G124">
        <v>1581</v>
      </c>
    </row>
    <row r="125" spans="1:7" x14ac:dyDescent="0.3">
      <c r="D125">
        <v>2006</v>
      </c>
      <c r="E125">
        <v>239</v>
      </c>
      <c r="F125">
        <v>0</v>
      </c>
      <c r="G125">
        <v>1154</v>
      </c>
    </row>
    <row r="126" spans="1:7" x14ac:dyDescent="0.3">
      <c r="D126">
        <v>2007</v>
      </c>
      <c r="E126">
        <v>235</v>
      </c>
      <c r="F126">
        <v>0</v>
      </c>
      <c r="G126">
        <v>1452</v>
      </c>
    </row>
    <row r="127" spans="1:7" x14ac:dyDescent="0.3">
      <c r="D127">
        <v>2008</v>
      </c>
      <c r="E127">
        <v>247</v>
      </c>
      <c r="F127">
        <v>118</v>
      </c>
      <c r="G127">
        <v>1405</v>
      </c>
    </row>
    <row r="128" spans="1:7" x14ac:dyDescent="0.3">
      <c r="D128">
        <v>2009</v>
      </c>
      <c r="E128">
        <v>266</v>
      </c>
      <c r="F128">
        <v>130</v>
      </c>
      <c r="G128">
        <v>1408</v>
      </c>
    </row>
    <row r="129" spans="4:7" x14ac:dyDescent="0.3">
      <c r="D129">
        <v>2010</v>
      </c>
      <c r="E129">
        <v>266</v>
      </c>
      <c r="F129">
        <v>169</v>
      </c>
      <c r="G129">
        <v>1371</v>
      </c>
    </row>
    <row r="130" spans="4:7" x14ac:dyDescent="0.3">
      <c r="D130">
        <v>2011</v>
      </c>
      <c r="E130">
        <v>372</v>
      </c>
      <c r="F130">
        <v>218</v>
      </c>
      <c r="G130">
        <v>969</v>
      </c>
    </row>
    <row r="131" spans="4:7" x14ac:dyDescent="0.3">
      <c r="D131">
        <v>2012</v>
      </c>
      <c r="E131">
        <v>355</v>
      </c>
      <c r="F131">
        <v>295</v>
      </c>
      <c r="G131">
        <v>1397</v>
      </c>
    </row>
    <row r="132" spans="4:7" x14ac:dyDescent="0.3">
      <c r="D132">
        <v>2013</v>
      </c>
      <c r="E132">
        <v>485</v>
      </c>
      <c r="F132">
        <v>309</v>
      </c>
      <c r="G132">
        <v>1514</v>
      </c>
    </row>
    <row r="133" spans="4:7" x14ac:dyDescent="0.3">
      <c r="D133">
        <v>2014</v>
      </c>
      <c r="E133">
        <v>589</v>
      </c>
      <c r="F133">
        <v>295</v>
      </c>
      <c r="G133">
        <v>1720</v>
      </c>
    </row>
    <row r="134" spans="4:7" x14ac:dyDescent="0.3">
      <c r="D134">
        <v>2015</v>
      </c>
      <c r="E134">
        <v>789</v>
      </c>
      <c r="F134">
        <v>355</v>
      </c>
      <c r="G134">
        <v>1465</v>
      </c>
    </row>
    <row r="135" spans="4:7" x14ac:dyDescent="0.3">
      <c r="D135">
        <v>2016</v>
      </c>
      <c r="E135">
        <v>789</v>
      </c>
      <c r="F135">
        <v>355</v>
      </c>
      <c r="G135">
        <v>1465</v>
      </c>
    </row>
    <row r="136" spans="4:7" x14ac:dyDescent="0.3">
      <c r="D136">
        <v>2017</v>
      </c>
      <c r="E136">
        <v>2153</v>
      </c>
      <c r="F136">
        <v>607</v>
      </c>
      <c r="G136">
        <v>1327</v>
      </c>
    </row>
    <row r="137" spans="4:7" x14ac:dyDescent="0.3">
      <c r="D137">
        <v>2018</v>
      </c>
      <c r="E137">
        <v>2153</v>
      </c>
      <c r="F137">
        <v>485</v>
      </c>
      <c r="G137">
        <v>1251</v>
      </c>
    </row>
    <row r="138" spans="4:7" x14ac:dyDescent="0.3">
      <c r="D138">
        <v>2019</v>
      </c>
      <c r="E138">
        <v>2278</v>
      </c>
      <c r="F138">
        <v>361</v>
      </c>
      <c r="G138">
        <v>1056</v>
      </c>
    </row>
    <row r="139" spans="4:7" x14ac:dyDescent="0.3">
      <c r="D139">
        <v>2020</v>
      </c>
      <c r="E139">
        <v>2331</v>
      </c>
      <c r="F139">
        <v>535</v>
      </c>
      <c r="G139">
        <v>935</v>
      </c>
    </row>
    <row r="140" spans="4:7" x14ac:dyDescent="0.3">
      <c r="D140">
        <v>2021</v>
      </c>
      <c r="E140">
        <v>7487</v>
      </c>
      <c r="F140">
        <v>534</v>
      </c>
      <c r="G140">
        <v>803</v>
      </c>
    </row>
    <row r="141" spans="4:7" x14ac:dyDescent="0.3">
      <c r="D141">
        <v>2022</v>
      </c>
      <c r="E141">
        <v>7412</v>
      </c>
      <c r="F141">
        <v>419</v>
      </c>
      <c r="G141">
        <v>687</v>
      </c>
    </row>
    <row r="142" spans="4:7" x14ac:dyDescent="0.3">
      <c r="D142">
        <v>2023</v>
      </c>
      <c r="E142">
        <v>7609</v>
      </c>
      <c r="F142">
        <v>4347</v>
      </c>
      <c r="G142">
        <v>627</v>
      </c>
    </row>
    <row r="143" spans="4:7" x14ac:dyDescent="0.3">
      <c r="D143">
        <v>2024</v>
      </c>
      <c r="E143">
        <v>7220</v>
      </c>
      <c r="F143">
        <v>4345</v>
      </c>
      <c r="G143">
        <v>593</v>
      </c>
    </row>
    <row r="144" spans="4:7" x14ac:dyDescent="0.3">
      <c r="D144">
        <v>2025</v>
      </c>
      <c r="E144">
        <v>5439</v>
      </c>
      <c r="F144">
        <v>4883</v>
      </c>
      <c r="G144">
        <v>523</v>
      </c>
    </row>
  </sheetData>
  <mergeCells count="10">
    <mergeCell ref="A28:J28"/>
    <mergeCell ref="L28:V28"/>
    <mergeCell ref="A29:J29"/>
    <mergeCell ref="L29:V29"/>
    <mergeCell ref="A56:V56"/>
    <mergeCell ref="A1:V1"/>
    <mergeCell ref="A3:J3"/>
    <mergeCell ref="L3:V3"/>
    <mergeCell ref="A4:J4"/>
    <mergeCell ref="L4:V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F17"/>
  <sheetViews>
    <sheetView showGridLines="0" topLeftCell="A13" zoomScaleNormal="100" workbookViewId="0">
      <selection activeCell="G8" sqref="G8"/>
    </sheetView>
  </sheetViews>
  <sheetFormatPr defaultColWidth="6.109375" defaultRowHeight="14.4" x14ac:dyDescent="0.3"/>
  <cols>
    <col min="1" max="1" width="3.44140625" style="15" bestFit="1" customWidth="1"/>
    <col min="2" max="2" width="12.21875" style="15" bestFit="1" customWidth="1"/>
    <col min="3" max="3" width="66.6640625" style="15" bestFit="1" customWidth="1"/>
    <col min="4" max="4" width="14.6640625" style="15" bestFit="1" customWidth="1"/>
    <col min="5" max="5" width="14.88671875" style="15" bestFit="1" customWidth="1"/>
    <col min="6" max="6" width="8.6640625" style="15" bestFit="1" customWidth="1"/>
  </cols>
  <sheetData>
    <row r="1" spans="1:6" ht="31.5" customHeight="1" x14ac:dyDescent="0.3">
      <c r="A1" s="2" t="s">
        <v>76</v>
      </c>
      <c r="B1" s="2"/>
      <c r="C1" s="2"/>
      <c r="D1" s="2"/>
      <c r="E1" s="2"/>
      <c r="F1" s="2"/>
    </row>
    <row r="2" spans="1:6" ht="24" customHeight="1" x14ac:dyDescent="0.3">
      <c r="A2" s="30" t="s">
        <v>77</v>
      </c>
      <c r="B2" s="30" t="s">
        <v>78</v>
      </c>
      <c r="C2" s="30" t="s">
        <v>79</v>
      </c>
      <c r="D2" s="30" t="s">
        <v>80</v>
      </c>
      <c r="E2" s="30" t="s">
        <v>81</v>
      </c>
      <c r="F2" s="30" t="s">
        <v>82</v>
      </c>
    </row>
    <row r="3" spans="1:6" ht="21.75" customHeight="1" x14ac:dyDescent="0.3">
      <c r="A3" s="1" t="s">
        <v>83</v>
      </c>
      <c r="B3" s="1"/>
      <c r="C3" s="1"/>
      <c r="D3" s="1"/>
      <c r="E3" s="1"/>
      <c r="F3" s="1"/>
    </row>
    <row r="4" spans="1:6" ht="43.5" customHeight="1" x14ac:dyDescent="0.3">
      <c r="A4" s="31" t="s">
        <v>84</v>
      </c>
      <c r="B4" s="32" t="s">
        <v>35</v>
      </c>
      <c r="C4" s="33" t="s">
        <v>85</v>
      </c>
      <c r="D4" s="34" t="s">
        <v>86</v>
      </c>
      <c r="E4" s="35" t="s">
        <v>87</v>
      </c>
      <c r="F4" s="36" t="s">
        <v>88</v>
      </c>
    </row>
    <row r="5" spans="1:6" ht="43.5" customHeight="1" x14ac:dyDescent="0.3">
      <c r="A5" s="37" t="s">
        <v>89</v>
      </c>
      <c r="B5" s="38" t="s">
        <v>90</v>
      </c>
      <c r="C5" s="39" t="s">
        <v>91</v>
      </c>
      <c r="D5" s="34" t="s">
        <v>92</v>
      </c>
      <c r="E5" s="35" t="s">
        <v>93</v>
      </c>
      <c r="F5" s="36" t="s">
        <v>94</v>
      </c>
    </row>
    <row r="6" spans="1:6" ht="43.5" customHeight="1" x14ac:dyDescent="0.3">
      <c r="A6" s="31" t="s">
        <v>95</v>
      </c>
      <c r="B6" s="32" t="s">
        <v>34</v>
      </c>
      <c r="C6" s="33" t="s">
        <v>96</v>
      </c>
      <c r="D6" s="34" t="s">
        <v>2</v>
      </c>
      <c r="E6" s="35" t="s">
        <v>97</v>
      </c>
      <c r="F6" s="36" t="s">
        <v>98</v>
      </c>
    </row>
    <row r="7" spans="1:6" ht="21.75" customHeight="1" x14ac:dyDescent="0.3">
      <c r="A7" s="1" t="s">
        <v>99</v>
      </c>
      <c r="B7" s="1"/>
      <c r="C7" s="1"/>
      <c r="D7" s="1"/>
      <c r="E7" s="1"/>
      <c r="F7" s="1"/>
    </row>
    <row r="8" spans="1:6" ht="43.5" customHeight="1" x14ac:dyDescent="0.3">
      <c r="A8" s="37" t="s">
        <v>100</v>
      </c>
      <c r="B8" s="38" t="s">
        <v>27</v>
      </c>
      <c r="C8" s="39" t="s">
        <v>101</v>
      </c>
      <c r="D8" s="34" t="s">
        <v>2</v>
      </c>
      <c r="E8" s="35" t="s">
        <v>102</v>
      </c>
      <c r="F8" s="36" t="s">
        <v>103</v>
      </c>
    </row>
    <row r="9" spans="1:6" ht="43.5" customHeight="1" x14ac:dyDescent="0.3">
      <c r="A9" s="31" t="s">
        <v>104</v>
      </c>
      <c r="B9" s="32" t="s">
        <v>30</v>
      </c>
      <c r="C9" s="33" t="s">
        <v>105</v>
      </c>
      <c r="D9" s="34" t="s">
        <v>2</v>
      </c>
      <c r="E9" s="35" t="s">
        <v>106</v>
      </c>
      <c r="F9" s="36" t="s">
        <v>107</v>
      </c>
    </row>
    <row r="10" spans="1:6" ht="43.5" customHeight="1" x14ac:dyDescent="0.3">
      <c r="A10" s="37" t="s">
        <v>108</v>
      </c>
      <c r="B10" s="38" t="s">
        <v>33</v>
      </c>
      <c r="C10" s="39" t="s">
        <v>109</v>
      </c>
      <c r="D10" s="34" t="s">
        <v>2</v>
      </c>
      <c r="E10" s="35" t="s">
        <v>110</v>
      </c>
      <c r="F10" s="36" t="s">
        <v>106</v>
      </c>
    </row>
    <row r="11" spans="1:6" ht="21.75" customHeight="1" x14ac:dyDescent="0.3">
      <c r="A11" s="1" t="s">
        <v>111</v>
      </c>
      <c r="B11" s="1"/>
      <c r="C11" s="1"/>
      <c r="D11" s="1"/>
      <c r="E11" s="1"/>
      <c r="F11" s="1"/>
    </row>
    <row r="12" spans="1:6" ht="43.5" customHeight="1" x14ac:dyDescent="0.3">
      <c r="A12" s="31" t="s">
        <v>112</v>
      </c>
      <c r="B12" s="32" t="s">
        <v>113</v>
      </c>
      <c r="C12" s="33" t="s">
        <v>114</v>
      </c>
      <c r="D12" s="34" t="s">
        <v>115</v>
      </c>
      <c r="E12" s="35" t="s">
        <v>116</v>
      </c>
      <c r="F12" s="36" t="s">
        <v>117</v>
      </c>
    </row>
    <row r="13" spans="1:6" ht="43.5" customHeight="1" x14ac:dyDescent="0.3">
      <c r="A13" s="37" t="s">
        <v>118</v>
      </c>
      <c r="B13" s="38" t="s">
        <v>119</v>
      </c>
      <c r="C13" s="39" t="s">
        <v>120</v>
      </c>
      <c r="D13" s="34" t="s">
        <v>121</v>
      </c>
      <c r="E13" s="35" t="s">
        <v>117</v>
      </c>
      <c r="F13" s="36" t="s">
        <v>122</v>
      </c>
    </row>
    <row r="14" spans="1:6" ht="43.5" customHeight="1" x14ac:dyDescent="0.3">
      <c r="A14" s="31" t="s">
        <v>123</v>
      </c>
      <c r="B14" s="32" t="s">
        <v>124</v>
      </c>
      <c r="C14" s="33" t="s">
        <v>125</v>
      </c>
      <c r="D14" s="34" t="s">
        <v>126</v>
      </c>
      <c r="E14" s="35" t="s">
        <v>127</v>
      </c>
      <c r="F14" s="36" t="s">
        <v>128</v>
      </c>
    </row>
    <row r="15" spans="1:6" ht="43.5" customHeight="1" x14ac:dyDescent="0.3">
      <c r="A15" s="37" t="s">
        <v>129</v>
      </c>
      <c r="B15" s="38" t="s">
        <v>130</v>
      </c>
      <c r="C15" s="39" t="s">
        <v>131</v>
      </c>
      <c r="D15" s="34" t="s">
        <v>132</v>
      </c>
      <c r="E15" s="35" t="s">
        <v>133</v>
      </c>
      <c r="F15" s="36" t="s">
        <v>134</v>
      </c>
    </row>
    <row r="17" spans="1:6" ht="15" customHeight="1" x14ac:dyDescent="0.3">
      <c r="A17" s="53" t="s">
        <v>135</v>
      </c>
      <c r="B17" s="53"/>
      <c r="C17" s="53"/>
      <c r="D17" s="53"/>
      <c r="E17" s="53"/>
      <c r="F17" s="53"/>
    </row>
  </sheetData>
  <mergeCells count="5">
    <mergeCell ref="A1:F1"/>
    <mergeCell ref="A3:F3"/>
    <mergeCell ref="A7:F7"/>
    <mergeCell ref="A11:F1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P33"/>
  <sheetViews>
    <sheetView showGridLines="0" tabSelected="1" zoomScaleNormal="100" workbookViewId="0">
      <selection activeCell="E11" sqref="E11"/>
    </sheetView>
  </sheetViews>
  <sheetFormatPr defaultColWidth="8.6640625" defaultRowHeight="14.4" x14ac:dyDescent="0.3"/>
  <cols>
    <col min="1" max="1" width="27.109375" style="15" bestFit="1" customWidth="1"/>
    <col min="2" max="2" width="8.6640625" style="15" bestFit="1" customWidth="1"/>
    <col min="3" max="3" width="8" style="15" bestFit="1" customWidth="1"/>
    <col min="4" max="8" width="5.5546875" style="15" bestFit="1" customWidth="1"/>
    <col min="9" max="11" width="6.5546875" style="15" bestFit="1" customWidth="1"/>
    <col min="12" max="16" width="10.77734375" bestFit="1" customWidth="1"/>
  </cols>
  <sheetData>
    <row r="1" spans="1:16" ht="31.5" customHeight="1" x14ac:dyDescent="0.3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ht="30" customHeight="1" x14ac:dyDescent="0.3">
      <c r="A2" s="30" t="s">
        <v>1</v>
      </c>
      <c r="B2" s="40" t="s">
        <v>17</v>
      </c>
      <c r="C2" s="40" t="s">
        <v>18</v>
      </c>
      <c r="D2" s="40" t="s">
        <v>19</v>
      </c>
      <c r="E2" s="40" t="s">
        <v>20</v>
      </c>
      <c r="F2" s="40" t="s">
        <v>21</v>
      </c>
      <c r="G2" s="40" t="s">
        <v>22</v>
      </c>
      <c r="H2" s="40" t="s">
        <v>23</v>
      </c>
      <c r="I2" s="40" t="s">
        <v>24</v>
      </c>
      <c r="J2" s="40" t="s">
        <v>25</v>
      </c>
      <c r="K2" s="40" t="s">
        <v>26</v>
      </c>
      <c r="L2" s="41" t="s">
        <v>137</v>
      </c>
      <c r="M2" s="41" t="s">
        <v>138</v>
      </c>
      <c r="N2" s="41" t="s">
        <v>139</v>
      </c>
      <c r="O2" s="41" t="s">
        <v>140</v>
      </c>
      <c r="P2" s="41" t="s">
        <v>141</v>
      </c>
    </row>
    <row r="3" spans="1:16" ht="18" customHeight="1" x14ac:dyDescent="0.3">
      <c r="A3" s="38" t="s">
        <v>27</v>
      </c>
      <c r="B3" s="42">
        <v>1465</v>
      </c>
      <c r="C3" s="42">
        <v>1327</v>
      </c>
      <c r="D3" s="42">
        <v>1251</v>
      </c>
      <c r="E3" s="42">
        <v>1056</v>
      </c>
      <c r="F3" s="42">
        <v>935</v>
      </c>
      <c r="G3" s="42">
        <v>803</v>
      </c>
      <c r="H3" s="42">
        <v>687</v>
      </c>
      <c r="I3" s="42">
        <v>627</v>
      </c>
      <c r="J3" s="42">
        <v>593</v>
      </c>
      <c r="K3" s="42">
        <v>523</v>
      </c>
      <c r="L3" s="43">
        <v>328</v>
      </c>
      <c r="M3" s="43">
        <v>219</v>
      </c>
      <c r="N3" s="43">
        <v>110</v>
      </c>
      <c r="O3" s="43">
        <v>1</v>
      </c>
      <c r="P3" s="43">
        <v>0</v>
      </c>
    </row>
    <row r="4" spans="1:16" ht="18" customHeight="1" x14ac:dyDescent="0.3">
      <c r="A4" s="32" t="s">
        <v>28</v>
      </c>
      <c r="B4" s="44">
        <v>111</v>
      </c>
      <c r="C4" s="44">
        <v>50</v>
      </c>
      <c r="D4" s="44">
        <v>50</v>
      </c>
      <c r="E4" s="44">
        <v>53</v>
      </c>
      <c r="F4" s="44">
        <v>87</v>
      </c>
      <c r="G4" s="44">
        <v>84</v>
      </c>
      <c r="H4" s="44">
        <v>84</v>
      </c>
      <c r="I4" s="44">
        <v>354</v>
      </c>
      <c r="J4" s="44">
        <v>78</v>
      </c>
      <c r="K4" s="44">
        <v>100</v>
      </c>
      <c r="L4" s="43">
        <v>162</v>
      </c>
      <c r="M4" s="43">
        <v>172</v>
      </c>
      <c r="N4" s="43">
        <v>183</v>
      </c>
      <c r="O4" s="43">
        <v>193</v>
      </c>
      <c r="P4" s="43">
        <v>203</v>
      </c>
    </row>
    <row r="5" spans="1:16" ht="18" customHeight="1" x14ac:dyDescent="0.3">
      <c r="A5" s="38" t="s">
        <v>29</v>
      </c>
      <c r="B5" s="42">
        <v>150</v>
      </c>
      <c r="C5" s="42">
        <v>142</v>
      </c>
      <c r="D5" s="42">
        <v>142</v>
      </c>
      <c r="E5" s="42">
        <v>136</v>
      </c>
      <c r="F5" s="42">
        <v>129</v>
      </c>
      <c r="G5" s="42">
        <v>125</v>
      </c>
      <c r="H5" s="42">
        <v>158</v>
      </c>
      <c r="I5" s="42">
        <v>152</v>
      </c>
      <c r="J5" s="42">
        <v>154</v>
      </c>
      <c r="K5" s="42">
        <v>152</v>
      </c>
      <c r="L5" s="43">
        <v>151</v>
      </c>
      <c r="M5" s="43">
        <v>152</v>
      </c>
      <c r="N5" s="43">
        <v>154</v>
      </c>
      <c r="O5" s="43">
        <v>155</v>
      </c>
      <c r="P5" s="43">
        <v>156</v>
      </c>
    </row>
    <row r="6" spans="1:16" ht="18" customHeight="1" x14ac:dyDescent="0.3">
      <c r="A6" s="32" t="s">
        <v>30</v>
      </c>
      <c r="B6" s="44">
        <v>10</v>
      </c>
      <c r="C6" s="44">
        <v>10</v>
      </c>
      <c r="D6" s="44">
        <v>16</v>
      </c>
      <c r="E6" s="44">
        <v>6</v>
      </c>
      <c r="F6" s="44">
        <v>5</v>
      </c>
      <c r="G6" s="44">
        <v>5</v>
      </c>
      <c r="H6" s="44">
        <v>4</v>
      </c>
      <c r="I6" s="44">
        <v>3</v>
      </c>
      <c r="J6" s="44">
        <v>3</v>
      </c>
      <c r="K6" s="44">
        <v>3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</row>
    <row r="7" spans="1:16" ht="18" customHeight="1" x14ac:dyDescent="0.3">
      <c r="A7" s="38" t="s">
        <v>31</v>
      </c>
      <c r="B7" s="42">
        <v>60</v>
      </c>
      <c r="C7" s="42">
        <v>61</v>
      </c>
      <c r="D7" s="42">
        <v>53</v>
      </c>
      <c r="E7" s="42">
        <v>53</v>
      </c>
      <c r="F7" s="42">
        <v>36</v>
      </c>
      <c r="G7" s="42">
        <v>50</v>
      </c>
      <c r="H7" s="42">
        <v>51</v>
      </c>
      <c r="I7" s="42">
        <v>51</v>
      </c>
      <c r="J7" s="42">
        <v>42</v>
      </c>
      <c r="K7" s="42">
        <v>45</v>
      </c>
      <c r="L7" s="43">
        <v>41</v>
      </c>
      <c r="M7" s="43">
        <v>40</v>
      </c>
      <c r="N7" s="43">
        <v>38</v>
      </c>
      <c r="O7" s="43">
        <v>36</v>
      </c>
      <c r="P7" s="43">
        <v>35</v>
      </c>
    </row>
    <row r="8" spans="1:16" ht="18" customHeight="1" x14ac:dyDescent="0.3">
      <c r="A8" s="32" t="s">
        <v>32</v>
      </c>
      <c r="B8" s="44">
        <v>675</v>
      </c>
      <c r="C8" s="44">
        <v>63</v>
      </c>
      <c r="D8" s="44">
        <v>89</v>
      </c>
      <c r="E8" s="44">
        <v>262</v>
      </c>
      <c r="F8" s="44">
        <v>271</v>
      </c>
      <c r="G8" s="44">
        <v>274</v>
      </c>
      <c r="H8" s="44">
        <v>258</v>
      </c>
      <c r="I8" s="44">
        <v>220</v>
      </c>
      <c r="J8" s="44">
        <v>220</v>
      </c>
      <c r="K8" s="44">
        <v>238</v>
      </c>
      <c r="L8" s="43">
        <v>184</v>
      </c>
      <c r="M8" s="43">
        <v>171</v>
      </c>
      <c r="N8" s="43">
        <v>158</v>
      </c>
      <c r="O8" s="43">
        <v>144</v>
      </c>
      <c r="P8" s="43">
        <v>131</v>
      </c>
    </row>
    <row r="9" spans="1:16" ht="18" customHeight="1" x14ac:dyDescent="0.3">
      <c r="A9" s="38" t="s">
        <v>33</v>
      </c>
      <c r="B9" s="42">
        <v>37</v>
      </c>
      <c r="C9" s="42">
        <v>30</v>
      </c>
      <c r="D9" s="42">
        <v>49</v>
      </c>
      <c r="E9" s="42">
        <v>35</v>
      </c>
      <c r="F9" s="42">
        <v>35</v>
      </c>
      <c r="G9" s="42">
        <v>38</v>
      </c>
      <c r="H9" s="42">
        <v>36</v>
      </c>
      <c r="I9" s="42">
        <v>34</v>
      </c>
      <c r="J9" s="42">
        <v>33</v>
      </c>
      <c r="K9" s="42">
        <v>22</v>
      </c>
      <c r="L9" s="43">
        <v>29</v>
      </c>
      <c r="M9" s="43">
        <v>28</v>
      </c>
      <c r="N9" s="43">
        <v>27</v>
      </c>
      <c r="O9" s="43">
        <v>25</v>
      </c>
      <c r="P9" s="43">
        <v>24</v>
      </c>
    </row>
    <row r="10" spans="1:16" ht="18" customHeight="1" x14ac:dyDescent="0.3">
      <c r="A10" s="32" t="s">
        <v>34</v>
      </c>
      <c r="B10" s="44">
        <v>178</v>
      </c>
      <c r="C10" s="44">
        <v>218</v>
      </c>
      <c r="D10" s="44">
        <v>233</v>
      </c>
      <c r="E10" s="44">
        <v>245</v>
      </c>
      <c r="F10" s="44">
        <v>245</v>
      </c>
      <c r="G10" s="44">
        <v>266</v>
      </c>
      <c r="H10" s="44">
        <v>266</v>
      </c>
      <c r="I10" s="44">
        <v>266</v>
      </c>
      <c r="J10" s="44">
        <v>266</v>
      </c>
      <c r="K10" s="44">
        <v>87</v>
      </c>
      <c r="L10" s="43">
        <v>219</v>
      </c>
      <c r="M10" s="43">
        <v>218</v>
      </c>
      <c r="N10" s="43">
        <v>216</v>
      </c>
      <c r="O10" s="43">
        <v>215</v>
      </c>
      <c r="P10" s="43">
        <v>214</v>
      </c>
    </row>
    <row r="11" spans="1:16" ht="18" customHeight="1" x14ac:dyDescent="0.3">
      <c r="A11" s="38" t="s">
        <v>35</v>
      </c>
      <c r="B11" s="42">
        <v>789</v>
      </c>
      <c r="C11" s="42">
        <v>2153</v>
      </c>
      <c r="D11" s="42">
        <v>2153</v>
      </c>
      <c r="E11" s="42">
        <v>2278</v>
      </c>
      <c r="F11" s="42">
        <v>2331</v>
      </c>
      <c r="G11" s="42">
        <v>7487</v>
      </c>
      <c r="H11" s="42">
        <v>7412</v>
      </c>
      <c r="I11" s="42">
        <v>7609</v>
      </c>
      <c r="J11" s="42">
        <v>7220</v>
      </c>
      <c r="K11" s="42">
        <v>5439</v>
      </c>
      <c r="L11" s="43">
        <v>8659</v>
      </c>
      <c r="M11" s="43">
        <v>9418</v>
      </c>
      <c r="N11" s="43">
        <v>10176</v>
      </c>
      <c r="O11" s="43">
        <v>10935</v>
      </c>
      <c r="P11" s="43">
        <v>11693</v>
      </c>
    </row>
    <row r="12" spans="1:16" ht="18" customHeight="1" x14ac:dyDescent="0.3">
      <c r="A12" s="32" t="s">
        <v>36</v>
      </c>
      <c r="B12" s="44">
        <v>638</v>
      </c>
      <c r="C12" s="44">
        <v>623</v>
      </c>
      <c r="D12" s="44">
        <v>603</v>
      </c>
      <c r="E12" s="44">
        <v>623</v>
      </c>
      <c r="F12" s="44">
        <v>623</v>
      </c>
      <c r="G12" s="44">
        <v>279</v>
      </c>
      <c r="H12" s="44">
        <v>223</v>
      </c>
      <c r="I12" s="44">
        <v>371</v>
      </c>
      <c r="J12" s="44">
        <v>250</v>
      </c>
      <c r="K12" s="44">
        <v>235</v>
      </c>
      <c r="L12" s="43">
        <v>149</v>
      </c>
      <c r="M12" s="43">
        <v>95</v>
      </c>
      <c r="N12" s="43">
        <v>40</v>
      </c>
      <c r="O12" s="43">
        <v>0</v>
      </c>
      <c r="P12" s="43">
        <v>0</v>
      </c>
    </row>
    <row r="13" spans="1:16" ht="18" customHeight="1" x14ac:dyDescent="0.3">
      <c r="A13" s="38" t="s">
        <v>37</v>
      </c>
      <c r="B13" s="42">
        <v>355</v>
      </c>
      <c r="C13" s="42">
        <v>607</v>
      </c>
      <c r="D13" s="42">
        <v>485</v>
      </c>
      <c r="E13" s="42">
        <v>361</v>
      </c>
      <c r="F13" s="42">
        <v>535</v>
      </c>
      <c r="G13" s="42">
        <v>534</v>
      </c>
      <c r="H13" s="42">
        <v>419</v>
      </c>
      <c r="I13" s="42">
        <v>4347</v>
      </c>
      <c r="J13" s="42">
        <v>4345</v>
      </c>
      <c r="K13" s="42">
        <v>4883</v>
      </c>
      <c r="L13" s="43">
        <v>4567</v>
      </c>
      <c r="M13" s="43">
        <v>5091</v>
      </c>
      <c r="N13" s="43">
        <v>5614</v>
      </c>
      <c r="O13" s="43">
        <v>6138</v>
      </c>
      <c r="P13" s="43">
        <v>6662</v>
      </c>
    </row>
    <row r="14" spans="1:16" ht="18" customHeight="1" x14ac:dyDescent="0.3">
      <c r="A14" s="32" t="s">
        <v>38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185</v>
      </c>
      <c r="J14" s="44">
        <v>177</v>
      </c>
      <c r="K14" s="44">
        <v>173</v>
      </c>
      <c r="L14" s="43">
        <v>178</v>
      </c>
      <c r="M14" s="43">
        <v>200</v>
      </c>
      <c r="N14" s="43">
        <v>223</v>
      </c>
      <c r="O14" s="43">
        <v>245</v>
      </c>
      <c r="P14" s="43">
        <v>268</v>
      </c>
    </row>
    <row r="15" spans="1:16" ht="21.75" customHeight="1" x14ac:dyDescent="0.3">
      <c r="A15" s="45" t="s">
        <v>39</v>
      </c>
      <c r="B15" s="46">
        <v>4468</v>
      </c>
      <c r="C15" s="46">
        <v>5284</v>
      </c>
      <c r="D15" s="46">
        <v>5124</v>
      </c>
      <c r="E15" s="46">
        <v>5108</v>
      </c>
      <c r="F15" s="46">
        <v>5232</v>
      </c>
      <c r="G15" s="46">
        <v>9945</v>
      </c>
      <c r="H15" s="46">
        <v>9598</v>
      </c>
      <c r="I15" s="46">
        <v>14219</v>
      </c>
      <c r="J15" s="46">
        <v>13381</v>
      </c>
      <c r="K15" s="46">
        <v>11900</v>
      </c>
      <c r="L15" s="47">
        <v>14667</v>
      </c>
      <c r="M15" s="47">
        <v>15804</v>
      </c>
      <c r="N15" s="47">
        <v>16939</v>
      </c>
      <c r="O15" s="47">
        <v>18087</v>
      </c>
      <c r="P15" s="47">
        <v>19386</v>
      </c>
    </row>
    <row r="17" spans="1:11" ht="36" customHeight="1" x14ac:dyDescent="0.3">
      <c r="A17" s="54" t="s">
        <v>142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9" spans="1:11" ht="15" customHeight="1" x14ac:dyDescent="0.3">
      <c r="A19" s="15" t="s">
        <v>52</v>
      </c>
      <c r="B19" s="15" t="s">
        <v>143</v>
      </c>
      <c r="C19" s="15" t="s">
        <v>144</v>
      </c>
    </row>
    <row r="20" spans="1:11" ht="15" customHeight="1" x14ac:dyDescent="0.3">
      <c r="A20" s="15">
        <v>2016</v>
      </c>
      <c r="B20" s="15">
        <v>4468</v>
      </c>
    </row>
    <row r="21" spans="1:11" ht="15" customHeight="1" x14ac:dyDescent="0.3">
      <c r="A21" s="15">
        <v>2017</v>
      </c>
      <c r="B21" s="15">
        <v>5284</v>
      </c>
    </row>
    <row r="22" spans="1:11" ht="15" customHeight="1" x14ac:dyDescent="0.3">
      <c r="A22" s="15">
        <v>2018</v>
      </c>
      <c r="B22" s="15">
        <v>5124</v>
      </c>
    </row>
    <row r="23" spans="1:11" ht="15" customHeight="1" x14ac:dyDescent="0.3">
      <c r="A23" s="15">
        <v>2019</v>
      </c>
      <c r="B23" s="15">
        <v>5108</v>
      </c>
    </row>
    <row r="24" spans="1:11" ht="15" customHeight="1" x14ac:dyDescent="0.3">
      <c r="A24" s="15">
        <v>2020</v>
      </c>
      <c r="B24" s="15">
        <v>5232</v>
      </c>
    </row>
    <row r="25" spans="1:11" ht="15" customHeight="1" x14ac:dyDescent="0.3">
      <c r="A25" s="15">
        <v>2021</v>
      </c>
      <c r="B25" s="15">
        <v>9945</v>
      </c>
    </row>
    <row r="26" spans="1:11" ht="15" customHeight="1" x14ac:dyDescent="0.3">
      <c r="A26" s="15">
        <v>2022</v>
      </c>
      <c r="B26" s="15">
        <v>9598</v>
      </c>
    </row>
    <row r="27" spans="1:11" ht="15" customHeight="1" x14ac:dyDescent="0.3">
      <c r="A27" s="15">
        <v>2023</v>
      </c>
      <c r="B27" s="15">
        <v>14219</v>
      </c>
    </row>
    <row r="28" spans="1:11" ht="15" customHeight="1" x14ac:dyDescent="0.3">
      <c r="A28" s="15">
        <v>2024</v>
      </c>
      <c r="B28" s="15">
        <v>13381</v>
      </c>
    </row>
    <row r="29" spans="1:11" ht="15" customHeight="1" x14ac:dyDescent="0.3">
      <c r="A29" s="15">
        <v>2026</v>
      </c>
      <c r="B29" s="15">
        <v>11900</v>
      </c>
      <c r="C29" s="15">
        <v>14667</v>
      </c>
    </row>
    <row r="30" spans="1:11" ht="15" customHeight="1" x14ac:dyDescent="0.3">
      <c r="A30" s="15">
        <v>2027</v>
      </c>
      <c r="C30" s="15">
        <v>15804</v>
      </c>
    </row>
    <row r="31" spans="1:11" ht="15" customHeight="1" x14ac:dyDescent="0.3">
      <c r="A31" s="15">
        <v>2028</v>
      </c>
      <c r="C31" s="15">
        <v>16939</v>
      </c>
    </row>
    <row r="32" spans="1:11" ht="15" customHeight="1" x14ac:dyDescent="0.3">
      <c r="A32" s="15">
        <v>2029</v>
      </c>
      <c r="C32" s="15">
        <v>18087</v>
      </c>
    </row>
    <row r="33" spans="1:3" ht="15" customHeight="1" x14ac:dyDescent="0.3">
      <c r="A33" s="15">
        <v>2030</v>
      </c>
      <c r="C33" s="15">
        <v>19386</v>
      </c>
    </row>
  </sheetData>
  <mergeCells count="2">
    <mergeCell ref="A1:K1"/>
    <mergeCell ref="A17:K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Analysis</vt:lpstr>
      <vt:lpstr>Pivot Summary</vt:lpstr>
      <vt:lpstr>Dashboard</vt:lpstr>
      <vt:lpstr>Charts</vt:lpstr>
      <vt:lpstr>Insights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Piyush Aghor</cp:lastModifiedBy>
  <cp:revision>3</cp:revision>
  <dcterms:created xsi:type="dcterms:W3CDTF">2026-05-19T14:44:17Z</dcterms:created>
  <dcterms:modified xsi:type="dcterms:W3CDTF">2026-05-24T14:52:08Z</dcterms:modified>
  <dc:language>en-US</dc:language>
</cp:coreProperties>
</file>